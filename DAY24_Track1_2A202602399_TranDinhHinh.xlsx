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0_Hướng dẫn" sheetId="1" state="visible" r:id="rId2"/>
    <sheet name="0_Đầu vào" sheetId="2" state="visible" r:id="rId3"/>
    <sheet name="A_Tài chính căn bản" sheetId="3" state="visible" r:id="rId4"/>
    <sheet name="1_Chi phí mỗi việc" sheetId="4" state="visible" r:id="rId5"/>
    <sheet name="2_Định giá" sheetId="5" state="visible" r:id="rId6"/>
    <sheet name="3_Giả định" sheetId="6" state="visible" r:id="rId7"/>
    <sheet name="4_Chỉ số mỗi khách" sheetId="7" state="visible" r:id="rId8"/>
    <sheet name="5_Dòng tiền &amp; hiệu quả" sheetId="8" state="visible" r:id="rId9"/>
    <sheet name="6_Hiệu quả nội bộ" sheetId="9" state="visible" r:id="rId10"/>
    <sheet name="7_Quyết định" sheetId="10" state="visible" r:id="rId11"/>
    <sheet name="8_Thang điểm" sheetId="11" state="visible" r:id="rId12"/>
    <sheet name="9_Số tham khảo" sheetId="12"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<sst xmlns="http://schemas.openxmlformats.org/spreadsheetml/2006/main" count="782" uniqueCount="640">
  <si>
    <t xml:space="preserve">CS9 · Kinh tế sản phẩm AI: chi phí, định giá, hiệu quả đầu tư — File thực hành</t>
  </si>
  <si>
    <t xml:space="preserve">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</si>
  <si>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 xml:space="preserve">Ô tự kiểm tra: "Đạt" là ổn. "Xem lại", "Chưa đủ sốc" là câu hỏi để nhóm soát: sửa nếu nhập sai; nếu số đúng thì giữ nguyên và giải thích ở trang 7. Không chỉnh giả định chỉ để được "Đạt".</t>
  </si>
  <si>
    <t xml:space="preserve">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</si>
  <si>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 xml:space="preserve">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</si>
  <si>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 xml:space="preserve">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</si>
  <si>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 xml:space="preserve">Giá token: tra bảng giá chính thức của nhà cung cấp vào ngày làm bài, ghi tên mô hình và ngày tra. Tỷ giá: ghi nguồn và ngày. Trang 9 có sẵn một số số liệu đã kiểm chứng.</t>
  </si>
  <si>
    <t xml:space="preserve">Kịch bản xấu phải là cú sốc thật: tỷ lệ rời bỏ và chi phí có một khách tối thiểu gấp 1,5 lần kịch bản cơ sở (trang 3 tự kiểm tra).</t>
  </si>
  <si>
    <t xml:space="preserve">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</si>
  <si>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 xml:space="preserve">Tên file nộp: [Nhom]_CS9.xlsx · Nộp lên VLearn khi hết Nhiệm vụ 4.</t>
  </si>
  <si>
    <t xml:space="preserve">Nối hai buổi trước: mang phiếu bài tập 1 và bài về nhà một trang của Ngày 22 (định giá, kênh bán), và bảng theo dõi chỉ số của Ngày 23. Trang 0 chỉ chỗ dùng từng thứ.</t>
  </si>
  <si>
    <t xml:space="preserve">Nguồn tham khảo khung bài: AI in Action khóa 3 — Ngày 24 Mô hình tài chính (slide và sổ tay), Ngày 25 Định giá và đưa sản phẩm ra thị trường (Đàm Bá Quyền). File này được dựng lại cho khóa 4.</t>
  </si>
  <si>
    <t xml:space="preserve">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</si>
  <si>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 xml:space="preserve">Đơn vị tiền: trang A tính bằng TRIỆU đồng; từ trang 1 trở đi tính bằng ĐỒNG, riêng bảng độ nhạy ở trang 5 (dòng 56–68) ghi bằng triệu đồng.</t>
  </si>
  <si>
    <t xml:space="preserve">Chú thích màu:</t>
  </si>
  <si>
    <t xml:space="preserve">Ô điền giả định (không khóa)</t>
  </si>
  <si>
    <t xml:space="preserve">Ô công thức (tự tính, đã khóa)</t>
  </si>
  <si>
    <t xml:space="preserve">Chữ xám nghiêng ở cột Gợi ý: cách lấy số và giá trị bản mẫu (không cần điền)</t>
  </si>
  <si>
    <t xml:space="preserve">0 · Nhiệm vụ 0: gom đầu vào — có thì tận dụng, chưa có thì làm mới (5 phút)</t>
  </si>
  <si>
    <t xml:space="preserve">Đánh dấu nhóm đã có hay chưa. Cả hai lối đi đều đủ điểm. Dùng số thật từ buổi trước được cộng tối đa 10 điểm.</t>
  </si>
  <si>
    <t xml:space="preserve">Có thể đã có từ buổi trước</t>
  </si>
  <si>
    <t xml:space="preserve">Nhóm đã có chưa?</t>
  </si>
  <si>
    <t xml:space="preserve">Nếu ĐÃ CÓ: dùng ở đâu</t>
  </si>
  <si>
    <t xml:space="preserve">Nếu CHƯA CÓ: làm gì</t>
  </si>
  <si>
    <t xml:space="preserve">Ghi chú (tên file, đường dẫn)</t>
  </si>
  <si>
    <t xml:space="preserve">Mô hình hiệu quả đầu tư 3–6–12 tháng và tài liệu yêu cầu sản phẩm (Phase 1, Ngày 6)</t>
  </si>
  <si>
    <t xml:space="preserve">Chưa</t>
  </si>
  <si>
    <t xml:space="preserve">Làm phiên bản 2; so sánh con số cũ và mới ở trang 3–5</t>
  </si>
  <si>
    <t xml:space="preserve">Dựng mới trên file này</t>
  </si>
  <si>
    <t xml:space="preserve">Bảng giám sát agent: token, chi phí theo ngày (Ngày 13)</t>
  </si>
  <si>
    <t xml:space="preserve">Lấy số lần gọi AI và token thật ở trang 1</t>
  </si>
  <si>
    <t xml:space="preserve">Chạy thử 5 câu hỏi, xem số token ở trang quản lý API (cách làm: trang 1, cột Gợi ý)</t>
  </si>
  <si>
    <t xml:space="preserve">Báo cáo đánh giá chất lượng (Ngày 14 hoặc buổi đánh giá Track 1)</t>
  </si>
  <si>
    <t xml:space="preserve">Tỷ lệ chưa đạt → tỷ lệ cần người kiểm tra ở trang 1</t>
  </si>
  <si>
    <t xml:space="preserve">Giả định 10–20%, ghi lý do</t>
  </si>
  <si>
    <t xml:space="preserve">Phiếu bài tập 1 và bài về nhà một trang (Ngày 22)</t>
  </si>
  <si>
    <t xml:space="preserve">Có</t>
  </si>
  <si>
    <t xml:space="preserve">Cách tính tiền, chi phí mỗi việc, giá đề xuất: chép vào trang 1–2 rồi soát lại</t>
  </si>
  <si>
    <t xml:space="preserve">Làm nhanh ở Nhiệm vụ 1–2 theo bản mẫu (cột Gợi ý ở trang 1–2)</t>
  </si>
  <si>
    <t xml:space="preserve">Đề bài 3 cho sẵn cách tính tiền ở Ngày 22</t>
  </si>
  <si>
    <t xml:space="preserve">Bảng theo dõi chỉ số và luật xử lý (Ngày 23)</t>
  </si>
  <si>
    <t xml:space="preserve">Điền mức cảnh báo tự tính (trang 5, dòng 72–77) vào cột [TỰ TÍNH]</t>
  </si>
  <si>
    <t xml:space="preserve">Dùng bảng mức cảnh báo ở trang 5 làm khung</t>
  </si>
  <si>
    <t xml:space="preserve">Sản phẩm của nhóm từ các buổi trước</t>
  </si>
  <si>
    <t xml:space="preserve">Nhóm ngồi chung bàn nhưng khác dự án: chọn 1 trong 3 đề bài giả định trong file CS9_DeBai_GiaDinh.pdf (đề cho sẵn số liệu trang 1–3; ghi tên đề ở cột Ghi chú)</t>
  </si>
  <si>
    <t xml:space="preserve">CS9_DeBai_GiaDinh.pdf, trang 6-7</t>
  </si>
  <si>
    <t xml:space="preserve">Đề bài 3 — ShopViết</t>
  </si>
  <si>
    <t xml:space="preserve">Số đầu vào nhóm đã có</t>
  </si>
  <si>
    <t xml:space="preserve">Điểm thưởng gợi ý (tối đa 10): 2 điểm cho mỗi đầu vào đã có và thật sự được dùng trong bài</t>
  </si>
  <si>
    <t xml:space="preserve">A · Bài tập tài chính doanh nghiệp căn bản: lập ba báo cáo tài chính</t>
  </si>
  <si>
    <t xml:space="preserve">Công ty Trợ Lý Xanh bán trợ lý AI trả lời tin nhắn. Dưới đây là mọi giao dịch của 3 tháng đầu. Lập báo cáo kết quả kinh doanh, bảng cân đối kế toán và báo cáo lưu chuyển tiền tệ.</t>
  </si>
  <si>
    <t xml:space="preserve">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</si>
  <si>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 xml:space="preserve">ĐỀ BÀI · Giao dịch 3 tháng đầu</t>
  </si>
  <si>
    <t xml:space="preserve">STT</t>
  </si>
  <si>
    <t xml:space="preserve">Giao dịch</t>
  </si>
  <si>
    <t xml:space="preserve">Tháng 1</t>
  </si>
  <si>
    <t xml:space="preserve">Tháng 2</t>
  </si>
  <si>
    <t xml:space="preserve">Tháng 3</t>
  </si>
  <si>
    <t xml:space="preserve">Ghi chú</t>
  </si>
  <si>
    <t xml:space="preserve">Bài 1 · Vào báo cáo kết quả? (Có / Không · vì sao)</t>
  </si>
  <si>
    <t xml:space="preserve">Chủ sở hữu góp vốn bằng tiền</t>
  </si>
  <si>
    <t xml:space="preserve">Không: vốn góp là vốn chủ sở hữu, không phải doanh thu</t>
  </si>
  <si>
    <t xml:space="preserve">Vay ngân hàng, gốc trả sau 3 năm</t>
  </si>
  <si>
    <t xml:space="preserve">Lãi 12%/năm, trả cuối mỗi tháng</t>
  </si>
  <si>
    <t xml:space="preserve">Không: tiền vay là nợ; chỉ lãi vay 3 triệu/tháng vào báo cáo</t>
  </si>
  <si>
    <t xml:space="preserve">Mua máy chủ, trả tiền ngay</t>
  </si>
  <si>
    <t xml:space="preserve">Dùng 36 tháng, khấu hao đều</t>
  </si>
  <si>
    <t xml:space="preserve">Không: mua tài sản dùng lâu; chỉ khấu hao 10 triệu/tháng vào báo cáo</t>
  </si>
  <si>
    <t xml:space="preserve">Bán gói tháng cho cửa hàng nhỏ, thu tiền ngay</t>
  </si>
  <si>
    <t xml:space="preserve">Có: doanh thu tháng nào ghi tháng đó</t>
  </si>
  <si>
    <t xml:space="preserve">Ngân hàng X trả trước gói 12 tháng</t>
  </si>
  <si>
    <t xml:space="preserve">Dịch vụ chạy đều từ tháng 1</t>
  </si>
  <si>
    <t xml:space="preserve">Một phần: mỗi tháng 20 triệu; phần còn lại là doanh thu chưa thực hiện</t>
  </si>
  <si>
    <t xml:space="preserve">Dự án triển khai cho công ty Y được nghiệm thu</t>
  </si>
  <si>
    <t xml:space="preserve">Y trả tiền sau 60 ngày (tháng 4)</t>
  </si>
  <si>
    <t xml:space="preserve">Có: 90 triệu doanh thu tháng 2, khi nghiệm thu</t>
  </si>
  <si>
    <t xml:space="preserve">Chi phí gọi AI phát sinh trong tháng</t>
  </si>
  <si>
    <t xml:space="preserve">Nhà cung cấp cho trả vào tháng sau</t>
  </si>
  <si>
    <t xml:space="preserve">Có: ghi vào tháng dùng, dù trả tiền tháng sau</t>
  </si>
  <si>
    <t xml:space="preserve">Người kiểm tra câu trả lời, trả trong tháng</t>
  </si>
  <si>
    <t xml:space="preserve">Có: giá vốn</t>
  </si>
  <si>
    <t xml:space="preserve">Lương đội phát triển và bán hàng, trả trong tháng</t>
  </si>
  <si>
    <t xml:space="preserve">Có: chi phí hoạt động</t>
  </si>
  <si>
    <t xml:space="preserve">Thuê văn phòng, trả trong tháng</t>
  </si>
  <si>
    <t xml:space="preserve">Thuế thu nhập doanh nghiệp</t>
  </si>
  <si>
    <t xml:space="preserve">Lỗ lũy kế nên chưa phát sinh thuế</t>
  </si>
  <si>
    <t xml:space="preserve">Có: bằng 0 vì đang lỗ</t>
  </si>
  <si>
    <t xml:space="preserve">BÀI 1 · BÁO CÁO KẾT QUẢ KINH DOANH (10 phút). Ghi theo tháng phát sinh, không theo ngày tiền vào ra. Chi phí ghi số dương; dòng lợi nhuận = kết quả cộng trừ.</t>
  </si>
  <si>
    <t xml:space="preserve">Khoản mục</t>
  </si>
  <si>
    <t xml:space="preserve">Cộng 3 tháng</t>
  </si>
  <si>
    <t xml:space="preserve">Tự kiểm tra</t>
  </si>
  <si>
    <t xml:space="preserve">Doanh thu</t>
  </si>
  <si>
    <t xml:space="preserve">Giá vốn (gọi AI + người kiểm tra)</t>
  </si>
  <si>
    <t xml:space="preserve">Lợi nhuận gộp</t>
  </si>
  <si>
    <t xml:space="preserve">Chi phí hoạt động (lương + văn phòng)</t>
  </si>
  <si>
    <t xml:space="preserve">Lợi nhuận trước lãi vay, thuế và khấu hao (EBITDA)</t>
  </si>
  <si>
    <t xml:space="preserve">Khấu hao</t>
  </si>
  <si>
    <t xml:space="preserve">Lợi nhuận hoạt động</t>
  </si>
  <si>
    <t xml:space="preserve">Lãi vay</t>
  </si>
  <si>
    <t xml:space="preserve">Lợi nhuận trước thuế</t>
  </si>
  <si>
    <t xml:space="preserve">Lợi nhuận sau thuế</t>
  </si>
  <si>
    <t xml:space="preserve">Biên lợi nhuận gộp</t>
  </si>
  <si>
    <t xml:space="preserve">KIỂM TRA ghi theo kỳ: tổng lợi nhuận sau thuế 3 tháng (ô F31) có bằng −174 (số ở câu 3) không?</t>
  </si>
  <si>
    <t xml:space="preserve">BÀI 2 · BẢNG CÂN ĐỐI KẾ TOÁN cuối tháng 3 (Bài 2 và 3: 14 phút). Hao mòn lũy kế ghi số âm; lợi nhuận giữ lại đang lỗ thì ghi số âm.</t>
  </si>
  <si>
    <t xml:space="preserve">Số tiền</t>
  </si>
  <si>
    <t xml:space="preserve">TÀI SẢN</t>
  </si>
  <si>
    <t xml:space="preserve">Tiền</t>
  </si>
  <si>
    <t xml:space="preserve">Phải thu khách hàng</t>
  </si>
  <si>
    <t xml:space="preserve">Máy chủ — nguyên giá</t>
  </si>
  <si>
    <t xml:space="preserve">Hao mòn lũy kế</t>
  </si>
  <si>
    <t xml:space="preserve">Tổng tài sản</t>
  </si>
  <si>
    <t xml:space="preserve">NỢ PHẢI TRẢ</t>
  </si>
  <si>
    <t xml:space="preserve">Phải trả nhà cung cấp</t>
  </si>
  <si>
    <t xml:space="preserve">Doanh thu chưa thực hiện</t>
  </si>
  <si>
    <t xml:space="preserve">Vay ngân hàng</t>
  </si>
  <si>
    <t xml:space="preserve">Tổng nợ phải trả</t>
  </si>
  <si>
    <t xml:space="preserve">VỐN CHỦ SỞ HỮU</t>
  </si>
  <si>
    <t xml:space="preserve">Vốn góp</t>
  </si>
  <si>
    <t xml:space="preserve">Lợi nhuận giữ lại</t>
  </si>
  <si>
    <t xml:space="preserve">Tổng vốn chủ sở hữu</t>
  </si>
  <si>
    <t xml:space="preserve">Tổng nợ phải trả + vốn chủ sở hữu</t>
  </si>
  <si>
    <t xml:space="preserve">KIỂM TRA: Tài sản = Nợ phải trả + Vốn chủ sở hữu?</t>
  </si>
  <si>
    <t xml:space="preserve">KIỂM TRA: Lợi nhuận giữ lại = tổng lợi nhuận sau thuế 3 tháng (bài 1)?</t>
  </si>
  <si>
    <t xml:space="preserve">BÀI 3 · BÁO CÁO LƯU CHUYỂN TIỀN TỆ 3 tháng, phương pháp gián tiếp. Tiền vào ghi số dương, tiền ra ghi số âm; dòng 58–61 theo đúng chữ "Cộng" / "Trừ" ở đầu dòng.</t>
  </si>
  <si>
    <t xml:space="preserve">Cộng: khấu hao (không phải tiền chi ra) → số dương</t>
  </si>
  <si>
    <t xml:space="preserve">Trừ: phải thu khách hàng tăng thêm (đã ghi doanh thu, chưa thu tiền) → số âm</t>
  </si>
  <si>
    <t xml:space="preserve">Cộng: phải trả nhà cung cấp tăng thêm (đã ghi chi phí, chưa trả tiền) → số dương</t>
  </si>
  <si>
    <t xml:space="preserve">Cộng: doanh thu chưa thực hiện tăng thêm (khách trả trước) → số dương</t>
  </si>
  <si>
    <t xml:space="preserve">Dòng tiền từ hoạt động kinh doanh</t>
  </si>
  <si>
    <t xml:space="preserve">Mua máy chủ (tiền ra → số âm)</t>
  </si>
  <si>
    <t xml:space="preserve">Dòng tiền từ hoạt động đầu tư</t>
  </si>
  <si>
    <t xml:space="preserve">Góp vốn (tiền vào → số dương)</t>
  </si>
  <si>
    <t xml:space="preserve">Vay ngân hàng (tiền vào → số dương)</t>
  </si>
  <si>
    <t xml:space="preserve">Dòng tiền từ hoạt động tài chính</t>
  </si>
  <si>
    <t xml:space="preserve">Tiền tăng thêm trong kỳ</t>
  </si>
  <si>
    <t xml:space="preserve">Tiền đầu kỳ</t>
  </si>
  <si>
    <t xml:space="preserve">Tiền cuối kỳ</t>
  </si>
  <si>
    <t xml:space="preserve">KIỂM TRA: Tiền cuối kỳ = dòng Tiền trên bảng cân đối?</t>
  </si>
  <si>
    <t xml:space="preserve">KIỂM TRA: Lợi nhuận sau thuế = bài 1?</t>
  </si>
  <si>
    <t xml:space="preserve">CÂU HỎI 1–4 (làm sau Bài 2 và 3; câu 4 làm khi xong sớm). Mỗi câu 1–2 câu văn.</t>
  </si>
  <si>
    <t xml:space="preserve">1. Tháng nào có lãi? Trong tháng đó tiền mặt tăng hay giảm, bao nhiêu, vì sao? (Gợi ý: chỉ cộng tiền thật vào và ra trong tháng đó: tiền gọi AI tháng 1 trả trong tháng 2; 90 triệu dự án Y chưa thu.)</t>
  </si>
  <si>
    <t xml:space="preserve">Tháng 2 lãi 2 triệu nhưng tiền giảm 88 triệu (1.077 → 989): 90 triệu dự án Y đã ghi doanh thu mà chưa thu, lại trả 15 triệu tiền gọi AI của tháng 1.</t>
  </si>
  <si>
    <t xml:space="preserve">2. 240 triệu ngân hàng X trả trước nằm ở đâu trên bảng cân đối cuối tháng 3, bao nhiêu? Vì sao không ghi hết vào doanh thu?</t>
  </si>
  <si>
    <t xml:space="preserve">180 triệu ở dòng Doanh thu chưa thực hiện (nợ phải trả): công ty còn nợ ngân hàng 9 tháng dịch vụ. Chỉ 60 triệu của 3 tháng đã phục vụ mới là doanh thu.</t>
  </si>
  <si>
    <t xml:space="preserve">3. Lỗ 174 triệu mà dòng tiền kinh doanh chỉ âm 19 triệu. Khoản nào bù vào? Có nên vui không?</t>
  </si>
  <si>
    <t xml:space="preserve">Chủ yếu là 180 triệu khách trả trước, thêm 35 triệu chưa trả nhà cung cấp và 30 triệu khấu hao. Đó là tiền còn nợ dịch vụ và nợ nhà cung cấp, không phải tiền lãi.</t>
  </si>
  <si>
    <t xml:space="preserve">4. (Xong sớm) Nếu từ tháng 4 mọi thứ giữ như tháng 3, công ty còn trụ được khoảng bao nhiêu tháng?</t>
  </si>
  <si>
    <t xml:space="preserve">Mỗi tháng thu 110, chi 188 (10 + 35 + 120 + 20 + 3), đốt 78 triệu. (921 + 90 triệu Y trả ở tháng 4) ÷ 78 ≈ 13 tháng.</t>
  </si>
  <si>
    <t xml:space="preserve">BÀI 5 · (Xong sớm) MUA MÁY CHỦ HAY THUÊ ĐÁM MÂY — so bằng giá trị hiện tại</t>
  </si>
  <si>
    <t xml:space="preserve">Mua: trả 360 triệu ngay, dùng 36 tháng. Thuê đám mây cùng cấu hình: 12 triệu/tháng, trả cuối mỗi tháng, trong 36 tháng. Bỏ qua chi phí vận hành và giá trị còn lại của máy.</t>
  </si>
  <si>
    <t xml:space="preserve">Giá mua máy chủ (triệu đồng)</t>
  </si>
  <si>
    <t xml:space="preserve">Tiền thuê mỗi tháng (triệu đồng)</t>
  </si>
  <si>
    <t xml:space="preserve">Số tháng</t>
  </si>
  <si>
    <t xml:space="preserve">Chi phí vốn / năm</t>
  </si>
  <si>
    <t xml:space="preserve">Giá trị hiện tại của 36 tháng tiền thuê. Gợi ý: =PV(C85/12; C84; -C83). Dấu trừ trước C83 để kết quả là số dương; máy đặt tiếng Anh dùng dấu phẩy thay dấu chấm phẩy.</t>
  </si>
  <si>
    <t xml:space="preserve">Nên mua hay thuê? (chọn Mua hoặc Thuê trong danh sách)</t>
  </si>
  <si>
    <t xml:space="preserve">Thuê</t>
  </si>
  <si>
    <t xml:space="preserve">Nếu chi phí vốn chỉ 8%/năm: giá trị hiện tại của tiền thuê (gợi ý: =PV(0,08/12; C84; -C83))</t>
  </si>
  <si>
    <t xml:space="preserve">Khi đó nên mua hay thuê?</t>
  </si>
  <si>
    <t xml:space="preserve">Mua</t>
  </si>
  <si>
    <t xml:space="preserve">1 · Chi phí để AI làm xong 1 việc</t>
  </si>
  <si>
    <t xml:space="preserve">'Việc' = 1 đơn vị công việc khách nhận được, ví dụ: 1 hội thoại được trả lời, 1 hồ sơ được đọc, 1 cuộc gọi.</t>
  </si>
  <si>
    <t xml:space="preserve">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</si>
  <si>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 xml:space="preserve">Hạng mục</t>
  </si>
  <si>
    <t xml:space="preserve">Giá trị</t>
  </si>
  <si>
    <t xml:space="preserve">Đơn vị</t>
  </si>
  <si>
    <t xml:space="preserve">Nguồn / lý do</t>
  </si>
  <si>
    <t xml:space="preserve">Gợi ý cách lấy số · bản mẫu</t>
  </si>
  <si>
    <t xml:space="preserve">Mô tả 1 việc (Ngày 22 gọi là job)</t>
  </si>
  <si>
    <t xml:space="preserve">Một mô tả sản phẩm hoặc một câu trả lời đánh giá của khách mua</t>
  </si>
  <si>
    <t xml:space="preserve">Đề bài 3</t>
  </si>
  <si>
    <t xml:space="preserve">Một câu: AI nhận gì, trả ra gì cho khách. Bản mẫu: trả lời 1 hội thoại Zalo của khách cho cửa hàng nhỏ.</t>
  </si>
  <si>
    <t xml:space="preserve">Số lần gọi mô hình / việc</t>
  </si>
  <si>
    <t xml:space="preserve">lần</t>
  </si>
  <si>
    <t xml:space="preserve">Đếm số bước phải gọi mô hình cho 1 việc: hiểu câu hỏi, tra cứu, soạn trả lời, tự kiểm tra. Bản mẫu: 2.</t>
  </si>
  <si>
    <t xml:space="preserve">Token đầu vào / lần gọi</t>
  </si>
  <si>
    <t xml:space="preserve">token</t>
  </si>
  <si>
    <t xml:space="preserve">Gồm câu lệnh hệ thống + tài liệu tra cứu + lịch sử hội thoại + câu hỏi. Có bảng giám sát agent thì lấy số thật; chưa có thì chạy thử 5 câu và xem số token ở trang quản lý API. Bản mẫu: 2.000.</t>
  </si>
  <si>
    <t xml:space="preserve">Token đầu ra / lần gọi</t>
  </si>
  <si>
    <t xml:space="preserve">Độ dài câu trả lời, đếm bằng cách chạy thử. Bản mẫu: 300 (1–3 câu ngắn).</t>
  </si>
  <si>
    <t xml:space="preserve">Giá token đầu vào</t>
  </si>
  <si>
    <t xml:space="preserve">USD / 1 triệu token</t>
  </si>
  <si>
    <t xml:space="preserve">Đề bài 3 · GPT-6 Luna</t>
  </si>
  <si>
    <t xml:space="preserve">Chọn 1 mô hình ở trang 9 hoặc trang giá chính thức. Ghi tên mô hình, ngày tra, đường dẫn ở cột D. Bản mẫu: 0,4 USD (mô hình nhỏ giả định; nhóm thay bằng giá mô hình thật).</t>
  </si>
  <si>
    <t xml:space="preserve">Giá token đầu ra</t>
  </si>
  <si>
    <t xml:space="preserve">Như dòng 9. Giá đầu ra thường cao hơn đầu vào nhiều lần. Bản mẫu: 1,6 USD.</t>
  </si>
  <si>
    <t xml:space="preserve">Tỷ giá</t>
  </si>
  <si>
    <t xml:space="preserve">VND / USD</t>
  </si>
  <si>
    <t xml:space="preserve">Tỷ giá bán ra Vietcombank ở trang 9 (26.170 đồng, ngày 04/10/2026) hoặc tra mới, ghi ngày. Bản mẫu: 26.000.</t>
  </si>
  <si>
    <t xml:space="preserve">Tỷ lệ gọi lại khi lỗi</t>
  </si>
  <si>
    <t xml:space="preserve">%</t>
  </si>
  <si>
    <t xml:space="preserve">Tỷ lệ việc phải gọi lại vì lỗi, hết thời gian chờ, trả lời hỏng. Chưa đo: giả định 5–10%, ghi lý do. Bản mẫu: 10%.</t>
  </si>
  <si>
    <t xml:space="preserve">Hạ tầng / việc (máy chủ, cơ sở dữ liệu, gửi tin)</t>
  </si>
  <si>
    <t xml:space="preserve">VND</t>
  </si>
  <si>
    <t xml:space="preserve">Hoá đơn hạ tầng tăng theo lượt dùng (máy chủ, cơ sở dữ liệu, gửi tin) mỗi tháng ÷ số việc mỗi tháng. Phần trả cố định hằng tháng để ở trang 3, dòng 11. Bản mẫu: 100 đồng.</t>
  </si>
  <si>
    <t xml:space="preserve">Tỷ lệ việc cần người kiểm tra</t>
  </si>
  <si>
    <t xml:space="preserve">Lấy từ báo cáo đánh giá chất lượng (tỷ lệ trả lời chưa đạt). Chưa có: giả định 10–20%. Bản mẫu: 10%.</t>
  </si>
  <si>
    <t xml:space="preserve">Số phút người kiểm tra / việc</t>
  </si>
  <si>
    <t xml:space="preserve">phút</t>
  </si>
  <si>
    <t xml:space="preserve">Thời gian 1 người đọc và sửa 1 kết quả. Bản mẫu: 1,5 phút.</t>
  </si>
  <si>
    <t xml:space="preserve">Chi phí nhân sự kiểm tra</t>
  </si>
  <si>
    <t xml:space="preserve">VND / giờ</t>
  </si>
  <si>
    <t xml:space="preserve">Bằng (lương tháng + bảo hiểm) ÷ số giờ làm mỗi tháng (khoảng 176–208 giờ). Lương tối thiểu ở trang 9 chỉ là mức sàn. Bản mẫu: 60.000 đồng/giờ.</t>
  </si>
  <si>
    <t xml:space="preserve">Đánh giá chất lượng, giám sát, gán nhãn lại / việc</t>
  </si>
  <si>
    <t xml:space="preserve">Chi phí chạy bộ câu hỏi đánh giá, gán nhãn lại mỗi tháng ÷ số việc mỗi tháng. Bản mẫu: 60 đồng.</t>
  </si>
  <si>
    <t xml:space="preserve">Chi phí khác / việc (tuân thủ, lưu nhật ký…)</t>
  </si>
  <si>
    <t xml:space="preserve">Lưu nhật ký, bảo mật, tuân thủ. Ghi 0 thì nói vì sao. Bản mẫu: 30 đồng.</t>
  </si>
  <si>
    <t xml:space="preserve">KẾT QUẢ</t>
  </si>
  <si>
    <t xml:space="preserve">Chi phí gọi AI / việc (đã tính gọi lại)</t>
  </si>
  <si>
    <t xml:space="preserve">Chi phí người kiểm tra / việc</t>
  </si>
  <si>
    <t xml:space="preserve">Hạ tầng + đánh giá + khác / việc</t>
  </si>
  <si>
    <t xml:space="preserve">TỔNG CHI PHÍ MỖI VIỆC</t>
  </si>
  <si>
    <t xml:space="preserve">Bản mẫu: khoảng 413 đồng mỗi việc, trong đó gọi AI chỉ khoảng 73 đồng.</t>
  </si>
  <si>
    <t xml:space="preserve">Phần chìm so với chi phí gọi AI</t>
  </si>
  <si>
    <t xml:space="preserve">Dưới 30%: rà lại xem đã đủ các khoản chưa (kinh nghiệm giảng viên). Không thêm khoản bịa chỉ để đạt mốc.</t>
  </si>
  <si>
    <t xml:space="preserve">Giá sàn mỗi việc = 3 × chi phí mỗi việc</t>
  </si>
  <si>
    <t xml:space="preserve">Dùng cho giá từng việc, kể cả giá vượt hạn mức (biên ≈ 67%): chừa đệm cho khách dùng nhiều và giá AI biến động</t>
  </si>
  <si>
    <t xml:space="preserve">Giá tối thiểu để biên lợi nhuận gộp đạt 60%</t>
  </si>
  <si>
    <t xml:space="preserve">Giá bình quân mỗi việc của cả tệp khách nên cao hơn số này (để biên bình quân ≥ 60%, trang 4 và 7). Giá từng việc, kể cả phí vượt, dùng dòng 26.</t>
  </si>
  <si>
    <t xml:space="preserve">2 · Định giá: cách tính tiền, gói giá và nhóm khách dùng nhiều</t>
  </si>
  <si>
    <t xml:space="preserve">So sánh gói kết hợp (phí cố định + phí vượt hạn mức) với gói không giới hạn để thấy rủi ro từ nhóm khách dùng nhiều.</t>
  </si>
  <si>
    <t xml:space="preserve">Mục</t>
  </si>
  <si>
    <t xml:space="preserve">Khách trả tiền từ ngân sách nào?</t>
  </si>
  <si>
    <t xml:space="preserve">Phần mềm: người bán tự trả, ngân sách nhỏ</t>
  </si>
  <si>
    <t xml:space="preserve">Phần mềm hay Nhân sự?</t>
  </si>
  <si>
    <t xml:space="preserve">Cách tính tiền đã chọn</t>
  </si>
  <si>
    <t xml:space="preserve">Kết hợp (phí cố định + vượt hạn mức)</t>
  </si>
  <si>
    <t xml:space="preserve">Bảng giá dưới luôn có dạng phí cố định + phí mỗi việc vượt hạn mức. Cách nhập cho từng cách tính tiền: dòng 35–40.</t>
  </si>
  <si>
    <t xml:space="preserve">Lý do chọn (hai câu hỏi: đo được kết quả? AI tự làm trọn?)</t>
  </si>
  <si>
    <t xml:space="preserve">Người bán muốn kiểm soát ngân sách nhưng cần dự phòng lúc bán chạy</t>
  </si>
  <si>
    <t xml:space="preserve">Neo giá so với cái gì?</t>
  </si>
  <si>
    <t xml:space="preserve">Cộng tác viên viết bài bán thời gian 3 triệu/tháng</t>
  </si>
  <si>
    <t xml:space="preserve">Lương hoặc chi phí thuê ngoài, không so với giá ChatGPT</t>
  </si>
  <si>
    <t xml:space="preserve">Phí cố định / khách / tháng</t>
  </si>
  <si>
    <t xml:space="preserve">Số việc đã gồm trong phí cố định</t>
  </si>
  <si>
    <t xml:space="preserve">việc / tháng</t>
  </si>
  <si>
    <t xml:space="preserve">Giá mỗi việc vượt hạn mức</t>
  </si>
  <si>
    <t xml:space="preserve">VND / việc</t>
  </si>
  <si>
    <t xml:space="preserve">Giá gói không giới hạn (để so sánh; thường = phí cố định dòng 9)</t>
  </si>
  <si>
    <t xml:space="preserve">VND / tháng</t>
  </si>
  <si>
    <t xml:space="preserve">Nhóm khách</t>
  </si>
  <si>
    <t xml:space="preserve">Tỷ trọng số khách (2 dòng cộng = 100%)</t>
  </si>
  <si>
    <t xml:space="preserve">Số việc / 1 khách / tháng</t>
  </si>
  <si>
    <t xml:space="preserve">Doanh thu / khách (gói kết hợp)</t>
  </si>
  <si>
    <t xml:space="preserve">Chi phí AI / khách (= số việc × chi phí mỗi việc)</t>
  </si>
  <si>
    <t xml:space="preserve">Biên lợi nhuận gộp (kết hợp)</t>
  </si>
  <si>
    <t xml:space="preserve">Doanh thu / khách (không giới hạn)</t>
  </si>
  <si>
    <t xml:space="preserve">Biên lợi nhuận gộp (không giới hạn)</t>
  </si>
  <si>
    <t xml:space="preserve">Khách thường</t>
  </si>
  <si>
    <t xml:space="preserve">Đề bài 3: 85% khách thường, 120 việc/tháng</t>
  </si>
  <si>
    <t xml:space="preserve">Khách dùng nhiều</t>
  </si>
  <si>
    <t xml:space="preserve">Đề bài 3: 15% khách nhiều, 1.200 việc/tháng</t>
  </si>
  <si>
    <t xml:space="preserve">BÌNH QUÂN (theo tỷ trọng)</t>
  </si>
  <si>
    <t xml:space="preserve">Kiểm tra: tổng tỷ trọng phải = 100%</t>
  </si>
  <si>
    <t xml:space="preserve">Kiểm tra: giá mỗi việc vượt hạn mức ≥ giá sàn mỗi việc (trang 1, dòng 26)?</t>
  </si>
  <si>
    <t xml:space="preserve">Tỷ trọng doanh thu đến từ khách dùng nhiều</t>
  </si>
  <si>
    <t xml:space="preserve">Trong đó: phí vượt hạn mức</t>
  </si>
  <si>
    <t xml:space="preserve">Cảnh báo phụ thuộc</t>
  </si>
  <si>
    <t xml:space="preserve">PHÉP THỬ GIÁ: dùng chính quy tắc của Ngày 22 và chỉ số của Ngày 23</t>
  </si>
  <si>
    <t xml:space="preserve">Lương 1 tháng của người được thay</t>
  </si>
  <si>
    <t xml:space="preserve">Tỷ lệ chia doanh thu cho đối tác / kênh bán</t>
  </si>
  <si>
    <t xml:space="preserve">% doanh thu</t>
  </si>
  <si>
    <t xml:space="preserve">Trả mỗi tháng</t>
  </si>
  <si>
    <t xml:space="preserve">So với lương người được thay</t>
  </si>
  <si>
    <t xml:space="preserve">Quy tắc neo 50–70% lương (Ngày 22)</t>
  </si>
  <si>
    <t xml:space="preserve">Tiền AI ÷ doanh thu (chỉ số Ngày 23)</t>
  </si>
  <si>
    <t xml:space="preserve">Mức theo Ngày 23</t>
  </si>
  <si>
    <t xml:space="preserve">Khách dùng nhiều, gói kết hợp</t>
  </si>
  <si>
    <t xml:space="preserve">Khách dùng nhiều, nếu bán gói không giới hạn</t>
  </si>
  <si>
    <t xml:space="preserve">Biên lợi nhuận gộp bình quân sau khi chia cho đối tác</t>
  </si>
  <si>
    <t xml:space="preserve">Ngày 23: trên 50% ổn · 35–50% đáng lo · dưới 35% nguy</t>
  </si>
  <si>
    <t xml:space="preserve">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</si>
  <si>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 xml:space="preserve">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</si>
  <si>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 xml:space="preserve">CÁCH NHẬP DÒNG 9–12 THEO CÁCH TÍNH TIỀN ĐÃ CHỌN Ở DÒNG 6</t>
  </si>
  <si>
    <t xml:space="preserve">Theo lượt dùng</t>
  </si>
  <si>
    <t xml:space="preserve">Dòng 9 = 0 · dòng 10 = 0 · dòng 11 = giá mỗi việc</t>
  </si>
  <si>
    <t xml:space="preserve">Theo người dùng (tài khoản)</t>
  </si>
  <si>
    <t xml:space="preserve">Dòng 9 = giá mỗi tài khoản × số tài khoản của 1 khách · dòng 10 = mức dùng hợp lý · dòng 11 = phí vượt (không thu thì để trống, bỏ qua dòng 19, xem rủi ro ở dòng 31)</t>
  </si>
  <si>
    <t xml:space="preserve">Theo kết quả</t>
  </si>
  <si>
    <t xml:space="preserve">Dòng 9 = 0 · dòng 10 = 0 · dòng 11 = giá mỗi kết quả × tỷ lệ việc ra kết quả</t>
  </si>
  <si>
    <t xml:space="preserve">Kết hợp (bản mẫu)</t>
  </si>
  <si>
    <t xml:space="preserve">Dòng 9 = 499.000 · dòng 10 = 300 việc · dòng 11 = 1.500 đồng mỗi việc</t>
  </si>
  <si>
    <t xml:space="preserve">Dòng 12</t>
  </si>
  <si>
    <t xml:space="preserve">Chỉ để so sánh: nhập bằng phí cố định dòng 9; nếu dòng 9 = 0 thì nhập mức trọn gói nhóm từng cân nhắc.</t>
  </si>
  <si>
    <t xml:space="preserve">3 · Giả định cho 3 kịch bản</t>
  </si>
  <si>
    <t xml:space="preserve">Lạc quan = trình bày với nhà đầu tư · Cơ sở = lập kế hoạch · Xấu = để sống sót. Điền cột CƠ SỞ trước, có nguồn hoặc lý do. Cột Lạc quan, Xấu có sẵn mặc định theo Cơ sở (xem cột Gợi ý); sửa nếu có lý do.</t>
  </si>
  <si>
    <t xml:space="preserve">Giả định</t>
  </si>
  <si>
    <t xml:space="preserve">Lạc quan</t>
  </si>
  <si>
    <t xml:space="preserve">Cơ sở</t>
  </si>
  <si>
    <t xml:space="preserve">Xấu</t>
  </si>
  <si>
    <t xml:space="preserve">Gợi ý · bản mẫu (Lạc quan / Cơ sở / Xấu)</t>
  </si>
  <si>
    <t xml:space="preserve">Hệ số doanh thu bình quân so với trang 2 (1 = giữ nguyên · 1,1 = cao hơn 10% · 0,8 = thấp hơn 20%)</t>
  </si>
  <si>
    <t xml:space="preserve">×</t>
  </si>
  <si>
    <t xml:space="preserve">Đề bài 3: giữ mặc định 1</t>
  </si>
  <si>
    <t xml:space="preserve">Bản mẫu: 1,1 / 1 / 0,8. Xấu: bị ép giảm giá; lạc quan: bán được gói cao hơn.</t>
  </si>
  <si>
    <t xml:space="preserve">Hệ số chi phí AI / khách so với trang 2 (gõ như dòng 5)</t>
  </si>
  <si>
    <t xml:space="preserve">Bản mẫu: 0,9 / 1 / 1,2. Giá gọi AI hoặc cách khách dùng thay đổi.</t>
  </si>
  <si>
    <t xml:space="preserve">Khách mới tháng 1 (số khách ký được trong tháng đầu bán)</t>
  </si>
  <si>
    <t xml:space="preserve">khách</t>
  </si>
  <si>
    <t xml:space="preserve">Cơ sở: số khách đội bán hàng ký được thật trong tháng đầu. Mặc định: lạc quan = cơ sở × 1,3; xấu = cơ sở × 0,5. (Bản mẫu tự đặt 40 / 30 / 15.)</t>
  </si>
  <si>
    <t xml:space="preserve">Tăng trưởng khách mới / tháng (tính kép: 5%/tháng → tháng 24 gấp khoảng 3 lần tháng 1; 20%/tháng → gấp khoảng 66 lần)</t>
  </si>
  <si>
    <t xml:space="preserve">Mặc định: lạc quan × 1,6, xấu × 0,4. Bản mẫu: 8% / 5% / 2%. Trên 10% mỗi tháng cần lý do rất chắc.</t>
  </si>
  <si>
    <t xml:space="preserve">Tỷ lệ rời bỏ / tháng</t>
  </si>
  <si>
    <t xml:space="preserve">Chưa có số đo: lấy từ phỏng vấn hoặc thử nghiệm, ghi "Giả định". Xấu phải ≥ 1,5 × cơ sở. Mặc định: lạc quan × 0,6, xấu × 1,6. Bản mẫu: 3% / 5% / 8%.</t>
  </si>
  <si>
    <t xml:space="preserve">Chi phí có một khách (CAC) = tiền quảng cáo và bán hàng 1 tháng ÷ số khách mới tháng đó</t>
  </si>
  <si>
    <t xml:space="preserve">VND / khách</t>
  </si>
  <si>
    <t xml:space="preserve">Xấu phải ≥ 1,5 × cơ sở. Mặc định: lạc quan × 0,8, xấu × 1,5. (Bản mẫu tự đặt 1,2 / 1,5 / 2,3 triệu đồng.)</t>
  </si>
  <si>
    <t xml:space="preserve">Chi phí cố định / tháng (lương đội, văn phòng, hạ tầng trả cố định)</t>
  </si>
  <si>
    <t xml:space="preserve">Gõ đủ số đồng. Gồm lương đội phát triển (đã tách khỏi trang 1) và chi phí kiểm thử lại mỗi khi đổi mô hình hoặc câu lệnh. Bản mẫu: 150 triệu.</t>
  </si>
  <si>
    <t xml:space="preserve">Chi phí xây dựng ban đầu, gồm chi phí thử sai (chi một lần ở tháng 0)</t>
  </si>
  <si>
    <t xml:space="preserve">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</si>
  <si>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 xml:space="preserve">Tiền mặt hoặc ngân sách đã duyệt (trước khi chi xây dựng)</t>
  </si>
  <si>
    <t xml:space="preserve">Gõ đủ số đồng. Dự án trong công ty: ghi ngân sách đã duyệt. Để trống thì mọi kịch bản hết tiền ngay tháng 1. Bản mẫu: 2 tỷ.</t>
  </si>
  <si>
    <t xml:space="preserve">Lãi suất chiết khấu / năm</t>
  </si>
  <si>
    <t xml:space="preserve">Giả định của lớp: chi phí vốn cho dự án rủi ro cao</t>
  </si>
  <si>
    <t xml:space="preserve">Giữ 15% nếu không có lý do khác.</t>
  </si>
  <si>
    <t xml:space="preserve">Giá trị tính ra</t>
  </si>
  <si>
    <t xml:space="preserve">Doanh thu bình quân / khách / tháng</t>
  </si>
  <si>
    <t xml:space="preserve">Chi phí AI (giá vốn) / khách / tháng</t>
  </si>
  <si>
    <t xml:space="preserve">Doanh thu bình quân đã trừ phần chia cho đối tác (trang 2, dòng 27).</t>
  </si>
  <si>
    <t xml:space="preserve">Kiểm tra kịch bản xấu</t>
  </si>
  <si>
    <t xml:space="preserve">Tỷ lệ rời bỏ (xấu) ≥ 1,5 × cơ sở?</t>
  </si>
  <si>
    <t xml:space="preserve">Chi phí có một khách (xấu) ≥ 1,5 × cơ sở?</t>
  </si>
  <si>
    <t xml:space="preserve">4 · Chỉ số trên mỗi khách: có lãi trên từng khách không?</t>
  </si>
  <si>
    <t xml:space="preserve">Giá trị vòng đời (LTV) tính trên lợi nhuận gộp, KHÔNG tính trên doanh thu.</t>
  </si>
  <si>
    <t xml:space="preserve">Chỉ số</t>
  </si>
  <si>
    <t xml:space="preserve">Ngưỡng tham khảo</t>
  </si>
  <si>
    <t xml:space="preserve">Lợi nhuận gộp / khách / tháng</t>
  </si>
  <si>
    <t xml:space="preserve">≥ 60%</t>
  </si>
  <si>
    <t xml:space="preserve">Số tháng khách ở lại = 1 ÷ tỷ lệ rời bỏ</t>
  </si>
  <si>
    <t xml:space="preserve">Giá trị vòng đời (LTV) = lợi nhuận gộp × số tháng ở lại</t>
  </si>
  <si>
    <t xml:space="preserve">Chi phí có một khách (CAC)</t>
  </si>
  <si>
    <t xml:space="preserve">LTV ÷ CAC (lần)</t>
  </si>
  <si>
    <t xml:space="preserve">&gt; 3 (Ngày 23); mô hình của bạn: trang 5, dòng 74</t>
  </si>
  <si>
    <t xml:space="preserve">Thời gian hoàn vốn chi phí có khách (tháng)</t>
  </si>
  <si>
    <t xml:space="preserve">&lt; 12 tháng</t>
  </si>
  <si>
    <t xml:space="preserve">Đánh giá</t>
  </si>
  <si>
    <t xml:space="preserve">5 · Dòng tiền 24 tháng và hiệu quả đầu tư (3 kịch bản)</t>
  </si>
  <si>
    <t xml:space="preserve">Trang này tự tính: chỉ đọc kết quả, trừ ô vàng B54 (mức làm xấu). Kết quả chỉ có nghĩa khi trang 1–3 đã điền đủ. Tháng 0 = chi phí xây dựng. Bảng độ nhạy ở dòng 53, mức cảnh báo tự tính ở dòng 70–77.</t>
  </si>
  <si>
    <t xml:space="preserve">Kịch bản / dòng</t>
  </si>
  <si>
    <t xml:space="preserve">Tháng 0</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</si>
  <si>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</si>
  <si>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</si>
  <si>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</si>
  <si>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</si>
  <si>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</si>
  <si>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</si>
  <si>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</si>
  <si>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</si>
  <si>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</si>
  <si>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</si>
  <si>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</si>
  <si>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</si>
  <si>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</si>
  <si>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</si>
  <si>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</si>
  <si>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</si>
  <si>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</si>
  <si>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</si>
  <si>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</si>
  <si>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</si>
  <si>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</si>
  <si>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</si>
  <si>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</si>
  <si>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T24</t>
  </si>
  <si>
    <t xml:space="preserve">LẠC QUAN</t>
  </si>
  <si>
    <t xml:space="preserve">Khách mới</t>
  </si>
  <si>
    <t xml:space="preserve">Khách đang dùng</t>
  </si>
  <si>
    <t xml:space="preserve">Chi phí AI (giá vốn)</t>
  </si>
  <si>
    <t xml:space="preserve">Chi phí bán hàng (chi phí có khách × khách mới)</t>
  </si>
  <si>
    <t xml:space="preserve">Chi phí cố định</t>
  </si>
  <si>
    <t xml:space="preserve">Dòng tiền ròng</t>
  </si>
  <si>
    <t xml:space="preserve">Tiền mặt cuối kỳ</t>
  </si>
  <si>
    <t xml:space="preserve">Dòng tiền lũy kế của dự án</t>
  </si>
  <si>
    <t xml:space="preserve">CƠ SỞ</t>
  </si>
  <si>
    <t xml:space="preserve">XẤU</t>
  </si>
  <si>
    <t xml:space="preserve">TÓM TẮT HIỆU QUẢ ĐẦU TƯ</t>
  </si>
  <si>
    <t xml:space="preserve">Giá trị hiện tại ròng 24 tháng (đồng; lớn hơn 0 là đáng làm)</t>
  </si>
  <si>
    <t xml:space="preserve">&gt; 0</t>
  </si>
  <si>
    <t xml:space="preserve">Tỷ suất hoàn vốn nội bộ (IRR, quy ra năm)</t>
  </si>
  <si>
    <t xml:space="preserve">&gt; chi phí vốn</t>
  </si>
  <si>
    <t xml:space="preserve">Lãi suất làm giá trị hiện tại ròng bằng 0; so với chi phí vốn 15%. Số rất lớn ở kịch bản lạc quan là do vốn quay về nhanh — chỉ dùng để so sánh, không đọc như lợi nhuận.</t>
  </si>
  <si>
    <t xml:space="preserve">Tiền mặt thấp nhất</t>
  </si>
  <si>
    <t xml:space="preserve">Tháng hết tiền</t>
  </si>
  <si>
    <t xml:space="preserve">Không hết trong 12 tháng đầu</t>
  </si>
  <si>
    <t xml:space="preserve">Chỉ báo khi tiền mặt âm trong 24 tháng. Kịch bản cơ sở có thể luôn "Không hết tiền" — khi thử độ nhạy, hãy nhìn giá trị hiện tại ròng.</t>
  </si>
  <si>
    <t xml:space="preserve">Hoàn vốn dự án</t>
  </si>
  <si>
    <t xml:space="preserve">&lt; 24 tháng</t>
  </si>
  <si>
    <t xml:space="preserve">Khách đang dùng tháng 24</t>
  </si>
  <si>
    <t xml:space="preserve">Doanh thu tháng 24</t>
  </si>
  <si>
    <t xml:space="preserve">BẢNG ĐỘ NHẠY (kịch bản cơ sở): làm xấu từng biến, mỗi lần một biến</t>
  </si>
  <si>
    <t xml:space="preserve">Mức làm xấu</t>
  </si>
  <si>
    <t xml:space="preserve">Có thể đổi thành 10% hoặc 30% để thử</t>
  </si>
  <si>
    <t xml:space="preserve">Biến làm xấu</t>
  </si>
  <si>
    <t xml:space="preserve">Giá trị cơ sở</t>
  </si>
  <si>
    <t xml:space="preserve">Giá trị sau khi làm xấu</t>
  </si>
  <si>
    <t xml:space="preserve">Giá trị hiện tại ròng 24 tháng (triệu đồng)</t>
  </si>
  <si>
    <t xml:space="preserve">Chênh lệch so với cơ sở (triệu đồng)</t>
  </si>
  <si>
    <t xml:space="preserve">Tháng hoàn vốn</t>
  </si>
  <si>
    <t xml:space="preserve">Mức nguy hiểm (1 = nhất)</t>
  </si>
  <si>
    <t xml:space="preserve">Không đổi (cơ sở)</t>
  </si>
  <si>
    <t xml:space="preserve">—</t>
  </si>
  <si>
    <t xml:space="preserve">Doanh thu bình quân giảm</t>
  </si>
  <si>
    <t xml:space="preserve">Chi phí AI tăng</t>
  </si>
  <si>
    <t xml:space="preserve">Tỷ lệ rời bỏ tăng</t>
  </si>
  <si>
    <t xml:space="preserve">Chi phí có một khách tăng</t>
  </si>
  <si>
    <t xml:space="preserve">Khách mới tháng đầu giảm</t>
  </si>
  <si>
    <t xml:space="preserve">Tăng trưởng khách mới giảm</t>
  </si>
  <si>
    <t xml:space="preserve">Chi phí cố định tăng</t>
  </si>
  <si>
    <t xml:space="preserve">Biến nguy hiểm nhất</t>
  </si>
  <si>
    <t xml:space="preserve">Tình huống: khách dùng nhiều bỏ đi, thay bằng khách thường</t>
  </si>
  <si>
    <t xml:space="preserve">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</si>
  <si>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 xml:space="preserve">MỨC CẢNH BÁO TỰ TÍNH (kịch bản cơ sở): chép vào cột [TỰ TÍNH] của bảng theo dõi Ngày 23. Nếu giá trị hiện tại ròng cơ sở (D57) đang âm, cột C là mức PHẢI ĐẠT để hoà vốn, chưa phải mức cảnh báo.</t>
  </si>
  <si>
    <t xml:space="preserve">Cơ sở hiện tại</t>
  </si>
  <si>
    <t xml:space="preserve">Mức hoà vốn (giá trị hiện tại ròng 24 tháng = 0)</t>
  </si>
  <si>
    <t xml:space="preserve">Còn cách (so với hiện tại)</t>
  </si>
  <si>
    <t xml:space="preserve">Cách dùng trong bảng theo dõi Ngày 23</t>
  </si>
  <si>
    <t xml:space="preserve">Doanh thu bình quân / khách / tháng (VND)</t>
  </si>
  <si>
    <t xml:space="preserve">Dưới mức này là "nguy"</t>
  </si>
  <si>
    <t xml:space="preserve">Dưới mức này là "nguy". Ngày 22 nói 60%: đây là con số của chính mô hình</t>
  </si>
  <si>
    <t xml:space="preserve">Chi phí có một khách tối đa (VND)</t>
  </si>
  <si>
    <t xml:space="preserve">Khách mới tháng đầu tối thiểu</t>
  </si>
  <si>
    <t xml:space="preserve">Chỉ số báo sớm: số cửa hàng ký mới mỗi tháng</t>
  </si>
  <si>
    <t xml:space="preserve">Chi phí cố định tối đa / tháng (VND)</t>
  </si>
  <si>
    <t xml:space="preserve">Trần chi cho đội và văn phòng</t>
  </si>
  <si>
    <t xml:space="preserve">Tỷ lệ chia doanh thu cho đối tác tối đa</t>
  </si>
  <si>
    <t xml:space="preserve">Trần khi đàm phán với đối tác. Ngày 23 chỉ đòi biên sau chia trên 50%</t>
  </si>
  <si>
    <t xml:space="preserve">BẢNG TÍNH PHỤ CHO ĐỘ NHẠY — đã ẩn, không cần đọc</t>
  </si>
  <si>
    <t xml:space="preserve">Kịch bản</t>
  </si>
  <si>
    <t xml:space="preserve">Doanh thu bình quân</t>
  </si>
  <si>
    <t xml:space="preserve">Chi phí AI / khách</t>
  </si>
  <si>
    <t xml:space="preserve">Khách mới tháng 1</t>
  </si>
  <si>
    <t xml:space="preserve">Tăng trưởng</t>
  </si>
  <si>
    <t xml:space="preserve">Tỷ lệ rời bỏ</t>
  </si>
  <si>
    <t xml:space="preserve">Chi phí có khách</t>
  </si>
  <si>
    <t xml:space="preserve">Chi phí xây dựng</t>
  </si>
  <si>
    <t xml:space="preserve">Tiền mặt</t>
  </si>
  <si>
    <t xml:space="preserve">Lãi suất</t>
  </si>
  <si>
    <t xml:space="preserve">KB0 · Không đổi (cơ sở)</t>
  </si>
  <si>
    <t xml:space="preserve">KB1 · Doanh thu bình quân giảm</t>
  </si>
  <si>
    <t xml:space="preserve">KB2 · Chi phí AI tăng</t>
  </si>
  <si>
    <t xml:space="preserve">KB3 · Tỷ lệ rời bỏ tăng</t>
  </si>
  <si>
    <t xml:space="preserve">KB4 · Chi phí có một khách tăng</t>
  </si>
  <si>
    <t xml:space="preserve">KB5 · Khách mới tháng đầu giảm</t>
  </si>
  <si>
    <t xml:space="preserve">KB6 · Tăng trưởng khách mới giảm</t>
  </si>
  <si>
    <t xml:space="preserve">KB7 · Chi phí cố định tăng</t>
  </si>
  <si>
    <t xml:space="preserve">KB8 · Tình huống: khách dùng nhiều bỏ đi, thay bằng khách thường</t>
  </si>
  <si>
    <t xml:space="preserve">KB0 · Khách mới</t>
  </si>
  <si>
    <t xml:space="preserve">KB0 · Khách đang dùng</t>
  </si>
  <si>
    <t xml:space="preserve">KB0 · Dòng tiền ròng</t>
  </si>
  <si>
    <t xml:space="preserve">KB0 · Tiền mặt cuối kỳ</t>
  </si>
  <si>
    <t xml:space="preserve">KB0 · Dòng tiền lũy kế</t>
  </si>
  <si>
    <t xml:space="preserve">KB1 · Khách mới</t>
  </si>
  <si>
    <t xml:space="preserve">KB1 · Khách đang dùng</t>
  </si>
  <si>
    <t xml:space="preserve">KB1 · Dòng tiền ròng</t>
  </si>
  <si>
    <t xml:space="preserve">KB1 · Tiền mặt cuối kỳ</t>
  </si>
  <si>
    <t xml:space="preserve">KB1 · Dòng tiền lũy kế</t>
  </si>
  <si>
    <t xml:space="preserve">KB2 · Khách mới</t>
  </si>
  <si>
    <t xml:space="preserve">KB2 · Khách đang dùng</t>
  </si>
  <si>
    <t xml:space="preserve">KB2 · Dòng tiền ròng</t>
  </si>
  <si>
    <t xml:space="preserve">KB2 · Tiền mặt cuối kỳ</t>
  </si>
  <si>
    <t xml:space="preserve">KB2 · Dòng tiền lũy kế</t>
  </si>
  <si>
    <t xml:space="preserve">KB3 · Khách mới</t>
  </si>
  <si>
    <t xml:space="preserve">KB3 · Khách đang dùng</t>
  </si>
  <si>
    <t xml:space="preserve">KB3 · Dòng tiền ròng</t>
  </si>
  <si>
    <t xml:space="preserve">KB3 · Tiền mặt cuối kỳ</t>
  </si>
  <si>
    <t xml:space="preserve">KB3 · Dòng tiền lũy kế</t>
  </si>
  <si>
    <t xml:space="preserve">KB4 · Khách mới</t>
  </si>
  <si>
    <t xml:space="preserve">KB4 · Khách đang dùng</t>
  </si>
  <si>
    <t xml:space="preserve">KB4 · Dòng tiền ròng</t>
  </si>
  <si>
    <t xml:space="preserve">KB4 · Tiền mặt cuối kỳ</t>
  </si>
  <si>
    <t xml:space="preserve">KB4 · Dòng tiền lũy kế</t>
  </si>
  <si>
    <t xml:space="preserve">KB5 · Khách mới</t>
  </si>
  <si>
    <t xml:space="preserve">KB5 · Khách đang dùng</t>
  </si>
  <si>
    <t xml:space="preserve">KB5 · Dòng tiền ròng</t>
  </si>
  <si>
    <t xml:space="preserve">KB5 · Tiền mặt cuối kỳ</t>
  </si>
  <si>
    <t xml:space="preserve">KB5 · Dòng tiền lũy kế</t>
  </si>
  <si>
    <t xml:space="preserve">KB6 · Khách mới</t>
  </si>
  <si>
    <t xml:space="preserve">KB6 · Khách đang dùng</t>
  </si>
  <si>
    <t xml:space="preserve">KB6 · Dòng tiền ròng</t>
  </si>
  <si>
    <t xml:space="preserve">KB6 · Tiền mặt cuối kỳ</t>
  </si>
  <si>
    <t xml:space="preserve">KB6 · Dòng tiền lũy kế</t>
  </si>
  <si>
    <t xml:space="preserve">KB7 · Khách mới</t>
  </si>
  <si>
    <t xml:space="preserve">KB7 · Khách đang dùng</t>
  </si>
  <si>
    <t xml:space="preserve">KB7 · Dòng tiền ròng</t>
  </si>
  <si>
    <t xml:space="preserve">KB7 · Tiền mặt cuối kỳ</t>
  </si>
  <si>
    <t xml:space="preserve">KB7 · Dòng tiền lũy kế</t>
  </si>
  <si>
    <t xml:space="preserve">KB8 · Khách mới</t>
  </si>
  <si>
    <t xml:space="preserve">KB8 · Khách đang dùng</t>
  </si>
  <si>
    <t xml:space="preserve">KB8 · Dòng tiền ròng</t>
  </si>
  <si>
    <t xml:space="preserve">KB8 · Tiền mặt cuối kỳ</t>
  </si>
  <si>
    <t xml:space="preserve">KB8 · Dòng tiền lũy kế</t>
  </si>
  <si>
    <t xml:space="preserve">6 · Hiệu quả dự án AI dùng trong nội bộ (khi sản phẩm phục vụ chính công ty)</t>
  </si>
  <si>
    <t xml:space="preserve">Hiệu quả = (giá trị tạo ra − chi phí vận hành) so với chi phí đầu tư một lần. Không dùng thay cho trang 3–5 nếu sản phẩm bán ra thị trường.</t>
  </si>
  <si>
    <t xml:space="preserve">Lưu ý: giờ tiết kiệm chỉ thành tiền khi được dùng vào việc khác hoặc giúp giảm tuyển mới. Nếu không, chỉ ghi phần đo được ở dòng 9 và nói rõ lý do.</t>
  </si>
  <si>
    <t xml:space="preserve">Số nhân sự dùng công cụ</t>
  </si>
  <si>
    <t xml:space="preserve">người</t>
  </si>
  <si>
    <t xml:space="preserve">Số người sẽ dùng công cụ. Bản mẫu: 30 (1 phòng ban).</t>
  </si>
  <si>
    <t xml:space="preserve">Giờ tiết kiệm / người / tuần (chỉ tính giờ được dùng vào việc khác hoặc giúp giảm tuyển)</t>
  </si>
  <si>
    <t xml:space="preserve">giờ</t>
  </si>
  <si>
    <t xml:space="preserve">Chỉ tính giờ được dùng vào việc khác hoặc giúp giảm tuyển. Đo bằng thử nghiệm. Bản mẫu: 5 / 3 / 1,5.</t>
  </si>
  <si>
    <t xml:space="preserve">Tỷ lệ người dùng thật</t>
  </si>
  <si>
    <t xml:space="preserve">Người dùng đều đặn ÷ tổng số người. Bản mẫu: 80% / 60% / 35%.</t>
  </si>
  <si>
    <t xml:space="preserve">Chi phí 1 giờ công (gồm phúc lợi)</t>
  </si>
  <si>
    <t xml:space="preserve">Lương + bảo hiểm + phúc lợi ÷ số giờ làm. Bản mẫu: 120.000.</t>
  </si>
  <si>
    <t xml:space="preserve">Giá trị khác / tháng (doanh thu tăng, giảm lỗi…)</t>
  </si>
  <si>
    <t xml:space="preserve">Chỉ đưa vào nếu đo được. Bản mẫu: 10 / 5 / 0 triệu.</t>
  </si>
  <si>
    <t xml:space="preserve">Chi phí xây dựng một lần</t>
  </si>
  <si>
    <t xml:space="preserve">VND (một lần)</t>
  </si>
  <si>
    <t xml:space="preserve">Bản mẫu: 400 / 400 / 500 triệu.</t>
  </si>
  <si>
    <t xml:space="preserve">Chi phí thay đổi quy trình &amp; đào tạo (một lần)</t>
  </si>
  <si>
    <t xml:space="preserve">Khoản hay bị quên. Bản mẫu: 50 / 60 / 80 triệu.</t>
  </si>
  <si>
    <t xml:space="preserve">Chi phí vận hành / tháng (API, hạ tầng, bảo trì)</t>
  </si>
  <si>
    <t xml:space="preserve">Gọi AI + hạ tầng + bảo trì. Bản mẫu: 15 / 18 / 25 triệu.</t>
  </si>
  <si>
    <t xml:space="preserve">Giả định của lớp: chi phí vốn</t>
  </si>
  <si>
    <t xml:space="preserve">Kết quả</t>
  </si>
  <si>
    <t xml:space="preserve">Giá trị tạo ra / tháng</t>
  </si>
  <si>
    <t xml:space="preserve">Lợi ích ròng / tháng</t>
  </si>
  <si>
    <t xml:space="preserve">Đầu tư một lần</t>
  </si>
  <si>
    <t xml:space="preserve">Thời gian hoàn vốn</t>
  </si>
  <si>
    <t xml:space="preserve">Hiệu quả đầu tư sau 12 tháng (ROI)</t>
  </si>
  <si>
    <t xml:space="preserve">Giá trị hiện tại ròng 24 tháng</t>
  </si>
  <si>
    <t xml:space="preserve">Đánh giá nhanh</t>
  </si>
  <si>
    <t xml:space="preserve">Hoàn vốn dưới 12 tháng: Làm · hoàn vốn được nhưng chậm: thử ở 1 phòng ban để đo tỷ lệ người dùng thật · không hoàn vốn: Dừng</t>
  </si>
  <si>
    <t xml:space="preserve">7 · Tự kiểm tra và ghi chú quyết định</t>
  </si>
  <si>
    <t xml:space="preserve">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</si>
  <si>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 xml:space="preserve">Điểm kiểm tra</t>
  </si>
  <si>
    <t xml:space="preserve">Kết quả (cơ sở)</t>
  </si>
  <si>
    <t xml:space="preserve">Đạt?</t>
  </si>
  <si>
    <t xml:space="preserve">Phần chìm ≥ 30% chi phí gọi AI</t>
  </si>
  <si>
    <t xml:space="preserve">Biên lợi nhuận gộp bình quân ≥ 60% (gói kết hợp)</t>
  </si>
  <si>
    <t xml:space="preserve">LTV ÷ CAC &gt; 3 (cơ sở)</t>
  </si>
  <si>
    <t xml:space="preserve">Hoàn vốn chi phí có khách &lt; 12 tháng (cơ sở)</t>
  </si>
  <si>
    <t xml:space="preserve">Kịch bản xấu: rời bỏ và chi phí có khách đủ sốc (≥ 1,5 lần)</t>
  </si>
  <si>
    <t xml:space="preserve">Kịch bản xấu: tháng hết tiền</t>
  </si>
  <si>
    <t xml:space="preserve">Giá trị hiện tại ròng 24 tháng (cơ sở)</t>
  </si>
  <si>
    <t xml:space="preserve">Biến nguy hiểm nhất (bảng độ nhạy, trang 5)</t>
  </si>
  <si>
    <t xml:space="preserve">GHI CHÚ QUYẾT ĐỊNH: 5 câu, mỗi câu 1–3 câu văn, cả phần khoảng 200 chữ. Nhóm viết vào ô vàng dưới mỗi câu hỏi.</t>
  </si>
  <si>
    <t xml:space="preserve">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</si>
  <si>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 xml:space="preserve">Quyết định: DỪNG mở rộng kênh quảng cáo hiện tại, chỉ THỬ NGHIỆM NHỎ 1 tháng với 30 shop để kiểm chứng 2 hướng đổi kênh (bán qua sàn hạ CAC còn 350k hoặc bán gói năm hạ churn còn 8%). Lý do bằng số: Cơ sở có LTV ÷ CAC chỉ 1,19 lần (chuẩn &gt; 3), NPV âm 5,59 tỷ và hết sạch 1,5 tỷ tiền mặt ở tháng 5. Kế hoạch cắt giảm khi hết tiền trước tháng 12: Ngay tháng 2, Marketing Lead dừng chạy quảng cáo mạng xã hội (cắt 210 triệu CAC/tháng), Tech Lead giảm đội ngũ còn 2 người (chi phí cố định giảm từ 120 triệu xuống 60 triệu/tháng) để kéo dài thời gian sống sót thêm 8 tháng.</t>
  </si>
  <si>
    <t xml:space="preserve">2. Giá bán và cách tính tiền đã chọn — vì sao khách chấp nhận mức đó?</t>
  </si>
  <si>
    <t xml:space="preserve">Gói kết hợp 99.000 đ/tháng gồm 300 việc, vượt thì 300 đ/việc; neo theo lương CTV viết bài part-time 3 triệu/tháng (khách thường chỉ tốn 3,3% lương, khách dùng nhiều tốn 12,3% lương nên rất dễ chấp nhận). Trả lời câu hỏi đề 3: Dù chi phí AI mỗi việc chỉ 52 đồng (vài chục đồng) nhưng đây CHƯA PHẢI sản phẩm tốt, vì chi phí AI chỉ chiếm ~10,5% doanh thu, trong khi chi phí kéo khách (CAC = 700k) và chi phí cố định (120 tr/tháng) quá lớn khiến dòng tiền âm nặng và không thể bù đắp.</t>
  </si>
  <si>
    <t xml:space="preserve">3. Biến số nguy hiểm nhất (theo bảng độ nhạy ở trang 5) và cách theo dõi.</t>
  </si>
  <si>
    <t xml:space="preserve">Chi phí có một khách (CAC) là biến nguy hiểm nhất: tăng 20% làm NPV giảm thêm 2,3 tỷ đồng. Bán thêm khách không cứu được dự án vì mỗi khách mới đốt ngay 700k CAC trong khi lãi gộp tháng chỉ 125k và khách rời bỏ sau 6,7 tháng (càng bán nhiều càng đốt tiền nhanh). Phân công theo dõi: Marketing Lead theo dõi CAC thực tế hàng tuần qua báo cáo chi phí quảng cáo chia cho số shop mới; Product Lead theo dõi tỷ lệ churn hàng tuần.</t>
  </si>
  <si>
    <t xml:space="preserve">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</si>
  <si>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 xml:space="preserve">NẾU CAC vượt 400 nghìn đồng HOẶC tỷ lệ rời bỏ vượt 10%/tháng TRONG 2 tháng liên tiếp trên ít nhất 50 shop, THÌ dừng chạy quảng cáo mạng xã hội, chuyển sang phân phối qua sàn hoặc bán gói năm. KHÔNG THÌ không đốt thêm tiền quảng cáo để kéo khách.</t>
  </si>
  <si>
    <t xml:space="preserve">5. Mức cảnh báo tự tính (trang 5, dòng 72–77) đã điền vào bảng theo dõi Ngày 23 thế nào? Chưa có bảng Ngày 23: chép các mức đó, ghi mức nào là "nguy", mức nào "đáng lo", và ai theo dõi hằng tuần.</t>
  </si>
  <si>
    <t xml:space="preserve">Mức tự tính hòa vốn đưa vào bảng theo dõi: Doanh thu bình quân tối thiểu 218.660 đ/khách (hiện tại 139.500 đ là NGUY); CAC tối đa 360.582 đ (hiện tại 700.000 đ là CỰC NGUY); Tỷ lệ rời bỏ trên 10%/tháng là NGUY (chuẩn đề bài 15%). Phân công theo dõi: Founder và Marketing Lead rà soát 3 chỉ số này vào thứ Hai hàng tuần; ưu tiên thử nghiệm bán kèm qua sàn (CAC 350k) hoặc bán gói năm (churn 8%) để kéo NPV về dương.</t>
  </si>
  <si>
    <t xml:space="preserve">8 · Thang điểm (100 điểm)</t>
  </si>
  <si>
    <t xml:space="preserve">Trừ điểm: số bịa không có nguồn, chỉ 1 kịch bản, nhầm doanh thu với lợi nhuận.</t>
  </si>
  <si>
    <t xml:space="preserve">Tiêu chí</t>
  </si>
  <si>
    <t xml:space="preserve">Điểm</t>
  </si>
  <si>
    <t xml:space="preserve">Bài đạt khi</t>
  </si>
  <si>
    <t xml:space="preserve">Điểm (giảng viên chấm, nhóm không điền)</t>
  </si>
  <si>
    <t xml:space="preserve">Bài tập tài chính căn bản</t>
  </si>
  <si>
    <t xml:space="preserve">Ba báo cáo đúng và khớp: bảng cân đối cân, tiền cuối kỳ khớp, trả lời đúng câu 1–3</t>
  </si>
  <si>
    <t xml:space="preserve">Chi phí mỗi việc đầy đủ</t>
  </si>
  <si>
    <t xml:space="preserve">≥ 4 nhóm chi phí; chỉ gồm chi phí phục vụ (không lẫn R&amp;D, bán hàng); có tên mô hình và ngày tra giá</t>
  </si>
  <si>
    <t xml:space="preserve">Giá sống được trong mô hình</t>
  </si>
  <si>
    <t xml:space="preserve">Giá lấy từ bài Ngày 22 và qua ba phép thử: neo lương 50–70%, tiền AI của khách dùng nhiều, biên sau chia đối tác</t>
  </si>
  <si>
    <t xml:space="preserve">Chỉ số trên mỗi khách</t>
  </si>
  <si>
    <t xml:space="preserve">Công thức đúng; LTV tính trên lợi nhuận gộp; tỷ lệ rời bỏ và chi phí có khách có nguồn hoặc lý do rõ</t>
  </si>
  <si>
    <t xml:space="preserve">3 kịch bản và độ nhạy</t>
  </si>
  <si>
    <t xml:space="preserve">Kịch bản xấu là cú sốc thật; đọc bảng độ nhạy và chỉ ra biến số nguy hiểm nhất</t>
  </si>
  <si>
    <t xml:space="preserve">Ghi chú quyết định và mức cảnh báo</t>
  </si>
  <si>
    <t xml:space="preserve">Quyết định rõ, bảo vệ bằng số; luật xử lý theo khuôn Ngày 23; mức cảnh báo tự tính đưa vào bảng Ngày 23</t>
  </si>
  <si>
    <t xml:space="preserve">TỔNG</t>
  </si>
  <si>
    <t xml:space="preserve">Điểm thưởng: dùng số thật từ buổi trước (trang 0)</t>
  </si>
  <si>
    <t xml:space="preserve">tối đa 10</t>
  </si>
  <si>
    <t xml:space="preserve">2 điểm/đầu vào đã có và thật sự được dùng; tổng điểm không quá 100</t>
  </si>
  <si>
    <t xml:space="preserve">THANG ĐIỂM TRÌNH BÀY (1–5 điểm mỗi tiêu chí)</t>
  </si>
  <si>
    <t xml:space="preserve">Mức 1</t>
  </si>
  <si>
    <t xml:space="preserve">Mức 3</t>
  </si>
  <si>
    <t xml:space="preserve">Mức 5</t>
  </si>
  <si>
    <t xml:space="preserve">Rõ ràng</t>
  </si>
  <si>
    <t xml:space="preserve">Câu đầu chưa có quyết định; người nghe phải đoán nhóm đề xuất gì</t>
  </si>
  <si>
    <t xml:space="preserve">Có quyết định nhưng nói sau phần mở đầu, hoặc thiếu giá bán</t>
  </si>
  <si>
    <t xml:space="preserve">Câu đầu tiên có quyết định, giá bán và 1 lý do</t>
  </si>
  <si>
    <t xml:space="preserve">Bằng chứng</t>
  </si>
  <si>
    <t xml:space="preserve">Con số không có nguồn, hoặc chỉ có kịch bản cơ sở</t>
  </si>
  <si>
    <t xml:space="preserve">Có số chính và nguồn, nhưng thiếu kịch bản xấu hoặc biến nguy hiểm nhất</t>
  </si>
  <si>
    <t xml:space="preserve">Đủ chi phí mỗi việc, biên lợi nhuận, LTV ÷ CAC, kịch bản xấu; số nào cũng có nguồn hoặc lý do</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</si>
  <si>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</si>
  <si>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</si>
  <si>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</si>
  <si>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</si>
  <si>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</si>
  <si>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</si>
  <si>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</si>
  <si>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</si>
  <si>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Điểm buổi = 60% sản phẩm + 40% trình bày (60% giảng viên + 40% các nhóm khác chấm, không tự chấm nhóm mình).</t>
  </si>
  <si>
    <t xml:space="preserve">9 · Số tham khảo đã kiểm chứng (tra ngày 04/10/2026)</t>
  </si>
  <si>
    <t xml:space="preserve">Giá thay đổi thường xuyên: trước khi dùng, mở lại đường dẫn và ghi ngày tra của nhóm. Số nào không có trong bảng, nhóm tự tìm nguồn hoặc ghi lý do.</t>
  </si>
  <si>
    <t xml:space="preserve">Mô hình AI</t>
  </si>
  <si>
    <t xml:space="preserve">Đầu vào (USD / 1 triệu token)</t>
  </si>
  <si>
    <t xml:space="preserve">Đầu ra (USD / 1 triệu token)</t>
  </si>
  <si>
    <t xml:space="preserve">Nguồn chính thức</t>
  </si>
  <si>
    <t xml:space="preserve">OpenAI GPT-6 Luna</t>
  </si>
  <si>
    <t xml:space="preserve">https://developers.openai.com/api/docs/pricing</t>
  </si>
  <si>
    <t xml:space="preserve">Mức Standard, ngữ cảnh ngắn</t>
  </si>
  <si>
    <t xml:space="preserve">OpenAI GPT-6 Sol</t>
  </si>
  <si>
    <t xml:space="preserve">https://openai.com/index/introducing-gpt-6-sol-and-luna/</t>
  </si>
  <si>
    <t xml:space="preserve">Mức Standard</t>
  </si>
  <si>
    <t xml:space="preserve">Anthropic Claude Haiku 4.5</t>
  </si>
  <si>
    <t xml:space="preserve">https://platform.claude.com/docs/en/models/haiku-4-5/overview</t>
  </si>
  <si>
    <t xml:space="preserve">Anthropic Claude Sonnet 5.5</t>
  </si>
  <si>
    <t xml:space="preserve">Bảng so sánh trên cùng trang</t>
  </si>
  <si>
    <t xml:space="preserve">Số liệu Việt Nam</t>
  </si>
  <si>
    <t xml:space="preserve">Nguồn</t>
  </si>
  <si>
    <t xml:space="preserve">Tỷ giá USD bán ra Vietcombank</t>
  </si>
  <si>
    <t xml:space="preserve">https://thanhnien.vn/gia-usd-hom-nay-4102026-bien-dong-nhe-trong-tuan-khi-euro-bang-anh-tiep-tuc-giam-185261003210750485.htm</t>
  </si>
  <si>
    <t xml:space="preserve">Báo chí đưa tin sáng 04/10/2026; đối chiếu trang Vietcombank khi dùng</t>
  </si>
  <si>
    <t xml:space="preserve">Tỷ giá trung tâm Ngân hàng Nhà nước</t>
  </si>
  <si>
    <t xml:space="preserve">https://qdnd.vn/kinh-te/tin-tuc/ty-gia-usd-hom-nay-4-10-dong-usd-tang-tuan-thu-ba-lien-tiep-1059250</t>
  </si>
  <si>
    <t xml:space="preserve">Báo QĐND đưa tin ngày 04/10/2026</t>
  </si>
  <si>
    <t xml:space="preserve">Lương tối thiểu tháng, vùng I (Hà Nội, TP.HCM)</t>
  </si>
  <si>
    <t xml:space="preserve">https://xaydungchinhsach.chinhphu.vn/tu-1-1-2026-muc-luong-toi-thieu-duoc-tang-bao-nhieu-119251111091442629.htm</t>
  </si>
  <si>
    <t xml:space="preserve">Nghị định 293/2025/NĐ-CP, hiệu lực 01/01/2026</t>
  </si>
  <si>
    <t xml:space="preserve">Lương tối thiểu giờ, vùng I</t>
  </si>
  <si>
    <t xml:space="preserve">Nghị định 293/2025/NĐ-CP; là mức sàn, chưa gồm bảo hiểm</t>
  </si>
  <si>
    <t xml:space="preserve">Số KHÔNG có trong bảng</t>
  </si>
  <si>
    <t xml:space="preserve">Cách xử lý</t>
  </si>
  <si>
    <t xml:space="preserve">Tỷ lệ rời bỏ, chi phí có một khách của SME Việt Nam</t>
  </si>
  <si>
    <t xml:space="preserve">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</si>
  <si>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 xml:space="preserve">LTV ÷ CAC &gt; 3, hoàn vốn chi phí có khách &lt; 12 tháng</t>
  </si>
  <si>
    <t xml:space="preserve">Ngưỡng tham khảo phổ biến trong ngành phần mềm thuê bao; lớp chưa kiểm chứng nguồn sơ cấp. Dùng để đọc kết quả, không phải luật.</t>
  </si>
  <si>
    <t xml:space="preserve">Giá sàn gấp 3 lần chi phí mỗi việc; phần chìm ≥ 30% chi phí gọi AI</t>
  </si>
  <si>
    <t xml:space="preserve">Kinh nghiệm của giảng viên, không phải chuẩn ngành.</t>
  </si>
  <si>
    <t xml:space="preserve">Ngưỡng nghe ở Ngày 22–23</t>
  </si>
  <si>
    <t xml:space="preserve">Cách dùng hôm nay</t>
  </si>
  <si>
    <t xml:space="preserve">Biên lợi nhuận gộp ≥ 60%, dưới 50% là nguy (Ngày 22, slide 8)</t>
  </si>
  <si>
    <t xml:space="preserve">Diễn giả nêu, không kèm nguồn. Ngày 23 (slide 34) dẫn số thực đo của công ty AI chỉ 45–53% — chưa kiểm chứng. Dùng mức tối thiểu tự tính ở trang 5.</t>
  </si>
  <si>
    <t xml:space="preserve">Neo giá ở 50–70% lương người được thay (Ngày 22, slide 9)</t>
  </si>
  <si>
    <t xml:space="preserve">Kinh nghiệm diễn giả. Dùng làm phép thử ở trang 2, không phải luật.</t>
  </si>
  <si>
    <t xml:space="preserve">Ranh giới bán tự phục vụ dưới 50 USD, bán trực tiếp trên 1.000 USD mỗi tháng (Ngày 22, slide 17–18)</t>
  </si>
  <si>
    <t xml:space="preserve">Ngưỡng của thị trường Mỹ. Ranh giới của nhóm là chi phí có một khách tối đa tự tính ở trang 5.</t>
  </si>
  <si>
    <t xml:space="preserve">GitHub Copilot thu 10 USD, chi 80 USD, lỗ 70 USD mỗi người (Ngày 22, slide 3)</t>
  </si>
  <si>
    <t xml:space="preserve">WSJ 10/2023 đưa tin lỗ trung bình khoảng 20 USD/người/tháng; 80 USD là mức của một số người dùng nặng. Theo bản tóm tắt của AI Business, chưa đọc bài gốc WSJ.</t>
  </si>
  <si>
    <t xml:space="preserve">Nhãn nguồn [NGÀNH] · [TỰ TÍNH] · [TỰ ĐO] (Ngày 23, slide 11)</t>
  </si>
  <si>
    <t xml:space="preserve">Dùng ba nhãn này trong cột "Nguồn / lý do". Số chưa có nguồn, chưa đo: ghi "Giả định: … vì …", không gắn [NGÀNH].</t>
  </si>
</sst>
</file>

<file path=xl/styles.xml><?xml version="1.0" encoding="utf-8"?>
<styleSheet xmlns="http://schemas.openxmlformats.org/spreadsheetml/2006/main">
  <numFmts count="14">
    <numFmt numFmtId="164" formatCode="General"/>
    <numFmt numFmtId="165" formatCode="#,##0;[RED]\-#,##0"/>
    <numFmt numFmtId="166" formatCode="General"/>
    <numFmt numFmtId="167" formatCode="0%"/>
    <numFmt numFmtId="168" formatCode="#,##0.0;[RED]\-#,##0.0"/>
    <numFmt numFmtId="169" formatCode="#,##0.##"/>
    <numFmt numFmtId="170" formatCode="0.0%"/>
    <numFmt numFmtId="171" formatCode="#,##0"/>
    <numFmt numFmtId="172" formatCode="0.00"/>
    <numFmt numFmtId="173" formatCode="0.0&quot; tháng&quot;"/>
    <numFmt numFmtId="174" formatCode="0.00\x"/>
    <numFmt numFmtId="175" formatCode="#,##0.0"/>
    <numFmt numFmtId="176" formatCode="&quot;Tháng &quot;0"/>
    <numFmt numFmtId="177" formatCode="0"/>
  </numFmts>
  <fonts count="16">
    <font>
      <sz val="11"/>
      <color rgb="FF000000"/>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name val="Cambria"/>
      <family val="0"/>
      <charset val="1"/>
    </font>
    <font>
      <i val="true"/>
      <sz val="11"/>
      <color rgb="FF595959"/>
      <name val="Calibri"/>
      <family val="0"/>
      <charset val="1"/>
    </font>
    <font>
      <b val="true"/>
      <sz val="11"/>
      <color rgb="FFFFFFFF"/>
      <name val="Cambria"/>
      <family val="0"/>
      <charset val="1"/>
    </font>
    <font>
      <i val="true"/>
      <sz val="10"/>
      <color rgb="FF595959"/>
      <name val="Calibri"/>
      <family val="0"/>
      <charset val="1"/>
    </font>
    <font>
      <sz val="11"/>
      <name val="Calibri"/>
      <family val="0"/>
      <charset val="1"/>
    </font>
    <font>
      <b val="true"/>
      <sz val="11"/>
      <name val="Calibri"/>
      <family val="0"/>
      <charset val="1"/>
    </font>
    <font>
      <b val="true"/>
      <sz val="11"/>
      <color rgb="FFC00000"/>
      <name val="Calibri"/>
      <family val="0"/>
      <charset val="1"/>
    </font>
    <font>
      <b val="true"/>
      <sz val="12"/>
      <name val="Cambria"/>
      <family val="0"/>
      <charset val="1"/>
    </font>
    <font>
      <b val="true"/>
      <sz val="11"/>
      <color rgb="FFC00000"/>
      <name val="Cambria"/>
      <family val="0"/>
      <charset val="1"/>
    </font>
    <font>
      <sz val="10"/>
      <color rgb="FF808080"/>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fals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true">
      <alignment horizontal="general" vertical="center" textRotation="0" wrapText="true" indent="0" shrinkToFit="false"/>
      <protection locked="fals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2" borderId="1" xfId="0" applyFont="true" applyBorder="true" applyAlignment="false" applyProtection="true">
      <alignment horizontal="general" vertical="bottom" textRotation="0" wrapText="false" indent="0" shrinkToFit="false"/>
      <protection locked="fals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11" fillId="3" borderId="1" xfId="0" applyFont="true" applyBorder="true" applyAlignment="true" applyProtection="false">
      <alignment horizontal="general" vertical="top" textRotation="0" wrapText="tru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true">
      <alignment horizontal="general" vertical="top" textRotation="0" wrapText="true" indent="0" shrinkToFit="false"/>
      <protection locked="fals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2" borderId="1" xfId="0" applyFont="true" applyBorder="true" applyAlignment="false" applyProtection="true">
      <alignment horizontal="general" vertical="bottom" textRotation="0" wrapText="false" indent="0" shrinkToFit="false"/>
      <protection locked="false" hidden="false"/>
    </xf>
    <xf numFmtId="164" fontId="10" fillId="2" borderId="1" xfId="0" applyFont="true" applyBorder="true" applyAlignment="false" applyProtection="true">
      <alignment horizontal="general" vertical="bottom" textRotation="0" wrapText="false" indent="0" shrinkToFit="false"/>
      <protection locked="fals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fals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true">
      <alignment horizontal="general" vertical="center" textRotation="0" wrapText="true" indent="0" shrinkToFit="false"/>
      <protection locked="fals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9" fontId="0" fillId="2" borderId="1" xfId="0" applyFont="false" applyBorder="true" applyAlignment="true" applyProtection="true">
      <alignment horizontal="general" vertical="center" textRotation="0" wrapText="false" indent="0" shrinkToFit="false"/>
      <protection locked="false" hidden="false"/>
    </xf>
    <xf numFmtId="170" fontId="0" fillId="2" borderId="1" xfId="0" applyFont="false" applyBorder="true" applyAlignment="true" applyProtection="true">
      <alignment horizontal="general" vertical="center" textRotation="0" wrapText="false" indent="0" shrinkToFit="false"/>
      <protection locked="fals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70" fontId="0" fillId="3"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false" hidden="false"/>
    </xf>
    <xf numFmtId="164" fontId="10" fillId="2" borderId="0" xfId="0" applyFont="true" applyBorder="false" applyAlignment="false" applyProtection="true">
      <alignment horizontal="general" vertical="bottom" textRotation="0" wrapText="false" indent="0" shrinkToFit="false"/>
      <protection locked="false" hidden="false"/>
    </xf>
    <xf numFmtId="165" fontId="0" fillId="2" borderId="1" xfId="0" applyFont="false" applyBorder="true" applyAlignment="false" applyProtection="true">
      <alignment horizontal="general" vertical="bottom" textRotation="0" wrapText="false" indent="0" shrinkToFit="false"/>
      <protection locked="false" hidden="false"/>
    </xf>
    <xf numFmtId="164" fontId="8" fillId="4" borderId="0" xfId="0" applyFont="true" applyBorder="false" applyAlignment="true" applyProtection="false">
      <alignment horizontal="general" vertical="top" textRotation="0" wrapText="true" indent="0" shrinkToFit="false"/>
      <protection locked="true" hidden="false"/>
    </xf>
    <xf numFmtId="170" fontId="0" fillId="2" borderId="1" xfId="0" applyFont="false" applyBorder="true" applyAlignment="false" applyProtection="true">
      <alignment horizontal="general" vertical="bottom" textRotation="0" wrapText="false" indent="0" shrinkToFit="false"/>
      <protection locked="false" hidden="false"/>
    </xf>
    <xf numFmtId="171" fontId="0" fillId="2" borderId="1" xfId="0" applyFont="false" applyBorder="true" applyAlignment="false" applyProtection="true">
      <alignment horizontal="general" vertical="bottom" textRotation="0" wrapText="false" indent="0" shrinkToFit="false"/>
      <protection locked="false" hidden="false"/>
    </xf>
    <xf numFmtId="171" fontId="0" fillId="3" borderId="1" xfId="0" applyFont="false" applyBorder="true" applyAlignment="false" applyProtection="false">
      <alignment horizontal="general" vertical="bottom" textRotation="0" wrapText="false" indent="0" shrinkToFit="false"/>
      <protection locked="true" hidden="false"/>
    </xf>
    <xf numFmtId="170" fontId="6" fillId="3" borderId="1" xfId="0" applyFont="tru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7" fontId="10" fillId="2" borderId="1" xfId="0" applyFont="true" applyBorder="true" applyAlignment="false" applyProtection="true">
      <alignment horizontal="general" vertical="bottom" textRotation="0" wrapText="false" indent="0" shrinkToFit="false"/>
      <protection locked="false" hidden="false"/>
    </xf>
    <xf numFmtId="166" fontId="10" fillId="3" borderId="1" xfId="0" applyFont="true" applyBorder="true" applyAlignment="true" applyProtection="false">
      <alignment horizontal="general" vertical="top" textRotation="0" wrapText="true" indent="0" shrinkToFit="false"/>
      <protection locked="true" hidden="false"/>
    </xf>
    <xf numFmtId="172" fontId="10" fillId="3"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72" fontId="0" fillId="2" borderId="1" xfId="0" applyFont="false" applyBorder="true" applyAlignment="true" applyProtection="true">
      <alignment horizontal="general" vertical="center" textRotation="0" wrapText="false" indent="0" shrinkToFit="false"/>
      <protection locked="false" hidden="false"/>
    </xf>
    <xf numFmtId="164" fontId="10" fillId="2" borderId="0" xfId="0" applyFont="true" applyBorder="false" applyAlignment="true" applyProtection="true">
      <alignment horizontal="general" vertical="center" textRotation="0" wrapText="true" indent="0" shrinkToFit="false"/>
      <protection locked="false" hidden="false"/>
    </xf>
    <xf numFmtId="171" fontId="0" fillId="2" borderId="1" xfId="0" applyFont="false" applyBorder="true" applyAlignment="true" applyProtection="true">
      <alignment horizontal="general" vertical="center" textRotation="0" wrapText="false" indent="0" shrinkToFit="false"/>
      <protection locked="false" hidden="false"/>
    </xf>
    <xf numFmtId="165" fontId="0" fillId="2" borderId="1" xfId="0" applyFont="false" applyBorder="true" applyAlignment="true" applyProtection="true">
      <alignment horizontal="general" vertical="center" textRotation="0" wrapText="false" indent="0" shrinkToFit="false"/>
      <protection locked="false" hidden="false"/>
    </xf>
    <xf numFmtId="164" fontId="10" fillId="2" borderId="0" xfId="0" applyFont="true" applyBorder="false" applyAlignment="true" applyProtection="true">
      <alignment horizontal="general" vertical="center" textRotation="0" wrapText="false" indent="0" shrinkToFit="false"/>
      <protection locked="false" hidden="false"/>
    </xf>
    <xf numFmtId="173" fontId="0" fillId="3" borderId="1" xfId="0" applyFont="false" applyBorder="true" applyAlignment="false" applyProtection="false">
      <alignment horizontal="general" vertical="bottom" textRotation="0" wrapText="false" indent="0" shrinkToFit="false"/>
      <protection locked="true" hidden="false"/>
    </xf>
    <xf numFmtId="17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6"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2" borderId="0" xfId="0" applyFont="true" applyBorder="false" applyAlignment="false" applyProtection="true">
      <alignment horizontal="general" vertical="bottom" textRotation="0" wrapText="false" indent="0" shrinkToFit="false"/>
      <protection locked="fals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76" fontId="10" fillId="3" borderId="0" xfId="0" applyFont="true" applyBorder="false" applyAlignment="true" applyProtection="false">
      <alignment horizontal="general" vertical="center" textRotation="0" wrapText="true" indent="0" shrinkToFit="false"/>
      <protection locked="true" hidden="false"/>
    </xf>
    <xf numFmtId="177" fontId="10" fillId="3" borderId="0" xfId="0" applyFont="true" applyBorder="false" applyAlignment="true" applyProtection="false">
      <alignment horizontal="center"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xf numFmtId="175" fontId="10" fillId="3"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8" fillId="4" borderId="0" xfId="0" applyFont="true" applyBorder="true" applyAlignment="true" applyProtection="false">
      <alignment horizontal="general" vertical="center" textRotation="0" wrapText="tru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5" fontId="0" fillId="2" borderId="1" xfId="0" applyFont="false" applyBorder="true" applyAlignment="true" applyProtection="true">
      <alignment horizontal="general" vertical="center" textRotation="0" wrapText="false" indent="0" shrinkToFit="false"/>
      <protection locked="false" hidden="false"/>
    </xf>
    <xf numFmtId="173" fontId="6"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4" fontId="0" fillId="3"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true" applyProtection="true">
      <alignment horizontal="general" vertical="bottom" textRotation="0" wrapText="true" indent="0" shrinkToFit="false"/>
      <protection locked="fals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129.99"/>
  </cols>
  <sheetData>
    <row r="1" customFormat="false" ht="17.25" hidden="false" customHeight="true" outlineLevel="0" collapsed="false">
      <c r="A1" s="1" t="s">
        <v>0</v>
      </c>
    </row>
    <row r="2" customFormat="false" ht="46.5" hidden="false" customHeight="true" outlineLevel="0" collapsed="false">
      <c r="A2" s="2" t="s">
        <v>1</v>
      </c>
    </row>
    <row r="3" customFormat="false" ht="31.5" hidden="false" customHeight="true" outlineLevel="0" collapsed="false">
      <c r="A3" s="3" t="s">
        <v>2</v>
      </c>
    </row>
    <row r="4" customFormat="false" ht="31.5" hidden="false" customHeight="true" outlineLevel="0" collapsed="false">
      <c r="A4" s="3" t="s">
        <v>3</v>
      </c>
    </row>
    <row r="5" customFormat="false" ht="46.5" hidden="false" customHeight="true" outlineLevel="0" collapsed="false">
      <c r="A5" s="3" t="s">
        <v>4</v>
      </c>
    </row>
    <row r="6" customFormat="false" ht="46.5" hidden="false" customHeight="true" outlineLevel="0" collapsed="false">
      <c r="A6" s="3" t="s">
        <v>5</v>
      </c>
    </row>
    <row r="7" customFormat="false" ht="31.5" hidden="false" customHeight="true" outlineLevel="0" collapsed="false">
      <c r="A7" s="3" t="s">
        <v>6</v>
      </c>
    </row>
    <row r="8" customFormat="false" ht="16.5" hidden="false" customHeight="true" outlineLevel="0" collapsed="false">
      <c r="A8" s="3" t="s">
        <v>7</v>
      </c>
    </row>
    <row r="9" customFormat="false" ht="46.5" hidden="false" customHeight="true" outlineLevel="0" collapsed="false">
      <c r="A9" s="3" t="s">
        <v>8</v>
      </c>
    </row>
    <row r="10" customFormat="false" ht="16.5" hidden="false" customHeight="true" outlineLevel="0" collapsed="false">
      <c r="A10" s="3" t="s">
        <v>9</v>
      </c>
    </row>
    <row r="11" customFormat="false" ht="31.5" hidden="false" customHeight="true" outlineLevel="0" collapsed="false">
      <c r="A11" s="3" t="s">
        <v>10</v>
      </c>
    </row>
    <row r="12" customFormat="false" ht="31.5" hidden="false" customHeight="true" outlineLevel="0" collapsed="false">
      <c r="A12" s="3" t="s">
        <v>11</v>
      </c>
    </row>
    <row r="13" customFormat="false" ht="31.5" hidden="false" customHeight="true" outlineLevel="0" collapsed="false">
      <c r="A13" s="3" t="s">
        <v>12</v>
      </c>
    </row>
    <row r="14" customFormat="false" ht="16.5" hidden="false" customHeight="true" outlineLevel="0" collapsed="false">
      <c r="A14" s="3" t="s">
        <v>13</v>
      </c>
    </row>
    <row r="15" customFormat="false" ht="15" hidden="false" customHeight="true" outlineLevel="0" collapsed="false">
      <c r="A15" s="4" t="s">
        <v>14</v>
      </c>
    </row>
    <row r="16" customFormat="false" ht="15" hidden="false" customHeight="true" outlineLevel="0" collapsed="false">
      <c r="A16" s="5" t="s">
        <v>15</v>
      </c>
    </row>
    <row r="17" customFormat="false" ht="15" hidden="false" customHeight="true" outlineLevel="0" collapsed="false">
      <c r="A17" s="6" t="s">
        <v>16</v>
      </c>
    </row>
    <row r="18" customFormat="false" ht="15" hidden="false" customHeight="true" outlineLevel="0" collapsed="false">
      <c r="A18" s="7" t="s">
        <v>17</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52"/>
    <col collapsed="false" customWidth="true" hidden="false" outlineLevel="0" max="2" min="2" style="0" width="14.01"/>
    <col collapsed="false" customWidth="true" hidden="false" outlineLevel="0" max="4" min="3" style="0" width="45.99"/>
    <col collapsed="false" customWidth="true" hidden="false" outlineLevel="0" max="5" min="5" style="0" width="36"/>
  </cols>
  <sheetData>
    <row r="1" customFormat="false" ht="17.25" hidden="false" customHeight="true" outlineLevel="0" collapsed="false">
      <c r="A1" s="1" t="s">
        <v>18</v>
      </c>
    </row>
    <row r="2" customFormat="false" ht="15" hidden="false" customHeight="true" outlineLevel="0" collapsed="false">
      <c r="A2" s="8" t="s">
        <v>19</v>
      </c>
    </row>
    <row r="4" customFormat="false" ht="26.25" hidden="false" customHeight="true" outlineLevel="0" collapsed="false">
      <c r="A4" s="9" t="s">
        <v>20</v>
      </c>
      <c r="B4" s="9" t="s">
        <v>21</v>
      </c>
      <c r="C4" s="9" t="s">
        <v>22</v>
      </c>
      <c r="D4" s="9" t="s">
        <v>23</v>
      </c>
      <c r="E4" s="9" t="s">
        <v>24</v>
      </c>
    </row>
    <row r="5" customFormat="false" ht="33.75" hidden="false" customHeight="true" outlineLevel="0" collapsed="false">
      <c r="A5" s="10" t="s">
        <v>25</v>
      </c>
      <c r="B5" s="11" t="s">
        <v>26</v>
      </c>
      <c r="C5" s="10" t="s">
        <v>27</v>
      </c>
      <c r="D5" s="10" t="s">
        <v>28</v>
      </c>
      <c r="E5" s="12"/>
    </row>
    <row r="6" customFormat="false" ht="33.75" hidden="false" customHeight="true" outlineLevel="0" collapsed="false">
      <c r="A6" s="10" t="s">
        <v>29</v>
      </c>
      <c r="B6" s="11" t="s">
        <v>26</v>
      </c>
      <c r="C6" s="10" t="s">
        <v>30</v>
      </c>
      <c r="D6" s="10" t="s">
        <v>31</v>
      </c>
      <c r="E6" s="12"/>
    </row>
    <row r="7" customFormat="false" ht="33.75" hidden="false" customHeight="true" outlineLevel="0" collapsed="false">
      <c r="A7" s="10" t="s">
        <v>32</v>
      </c>
      <c r="B7" s="11" t="s">
        <v>26</v>
      </c>
      <c r="C7" s="10" t="s">
        <v>33</v>
      </c>
      <c r="D7" s="10" t="s">
        <v>34</v>
      </c>
      <c r="E7" s="12"/>
    </row>
    <row r="8" customFormat="false" ht="33.75" hidden="false" customHeight="true" outlineLevel="0" collapsed="false">
      <c r="A8" s="10" t="s">
        <v>35</v>
      </c>
      <c r="B8" s="11" t="s">
        <v>36</v>
      </c>
      <c r="C8" s="10" t="s">
        <v>37</v>
      </c>
      <c r="D8" s="10" t="s">
        <v>38</v>
      </c>
      <c r="E8" s="12" t="s">
        <v>39</v>
      </c>
    </row>
    <row r="9" customFormat="false" ht="33.75" hidden="false" customHeight="true" outlineLevel="0" collapsed="false">
      <c r="A9" s="10" t="s">
        <v>40</v>
      </c>
      <c r="B9" s="11" t="s">
        <v>26</v>
      </c>
      <c r="C9" s="10" t="s">
        <v>41</v>
      </c>
      <c r="D9" s="10" t="s">
        <v>42</v>
      </c>
      <c r="E9" s="12"/>
    </row>
    <row r="10" customFormat="false" ht="61.5" hidden="false" customHeight="true" outlineLevel="0" collapsed="false">
      <c r="A10" s="10" t="s">
        <v>43</v>
      </c>
      <c r="B10" s="11" t="s">
        <v>36</v>
      </c>
      <c r="C10" s="10" t="s">
        <v>36</v>
      </c>
      <c r="D10" s="10" t="s">
        <v>44</v>
      </c>
      <c r="E10" s="12" t="s">
        <v>45</v>
      </c>
      <c r="F10" s="0" t="s">
        <v>46</v>
      </c>
    </row>
    <row r="12" customFormat="false" ht="15" hidden="false" customHeight="true" outlineLevel="0" collapsed="false">
      <c r="A12" s="4" t="s">
        <v>47</v>
      </c>
      <c r="B12" s="6" t="n">
        <f aca="false">COUNTIF(B5:B10,"Có")</f>
        <v>2</v>
      </c>
    </row>
    <row r="13" customFormat="false" ht="15" hidden="false" customHeight="true" outlineLevel="0" collapsed="false">
      <c r="A13" s="8" t="s">
        <v>48</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40625" defaultRowHeight="14.25" zeroHeight="false" outlineLevelRow="0" outlineLevelCol="0"/>
  <cols>
    <col collapsed="false" customWidth="true" hidden="false" outlineLevel="0" max="1" min="1" style="0" width="6.01"/>
    <col collapsed="false" customWidth="true" hidden="false" outlineLevel="0" max="2" min="2" style="0" width="60"/>
    <col collapsed="false" customWidth="true" hidden="false" outlineLevel="0" max="5" min="3" style="0" width="14.01"/>
    <col collapsed="false" customWidth="true" hidden="false" outlineLevel="0" max="6" min="6" style="0" width="30.01"/>
    <col collapsed="false" customWidth="true" hidden="false" outlineLevel="0" max="7" min="7" style="0" width="34"/>
  </cols>
  <sheetData>
    <row r="1" customFormat="false" ht="17.25" hidden="false" customHeight="true" outlineLevel="0" collapsed="false">
      <c r="A1" s="1" t="s">
        <v>49</v>
      </c>
    </row>
    <row r="2" customFormat="false" ht="15" hidden="false" customHeight="true" outlineLevel="0" collapsed="false">
      <c r="A2" s="8" t="s">
        <v>50</v>
      </c>
    </row>
    <row r="3" customFormat="false" ht="31.5" hidden="false" customHeight="true" outlineLevel="0" collapsed="false">
      <c r="A3" s="13" t="s">
        <v>51</v>
      </c>
      <c r="B3" s="13"/>
      <c r="C3" s="13"/>
      <c r="D3" s="13"/>
      <c r="E3" s="13"/>
      <c r="F3" s="13"/>
      <c r="G3" s="13"/>
    </row>
    <row r="5" customFormat="false" ht="15" hidden="false" customHeight="true" outlineLevel="0" collapsed="false">
      <c r="A5" s="4" t="s">
        <v>52</v>
      </c>
    </row>
    <row r="6" customFormat="false" ht="31.5" hidden="false" customHeight="true" outlineLevel="0" collapsed="false">
      <c r="A6" s="14" t="s">
        <v>53</v>
      </c>
      <c r="B6" s="14" t="s">
        <v>54</v>
      </c>
      <c r="C6" s="14" t="s">
        <v>55</v>
      </c>
      <c r="D6" s="14" t="s">
        <v>56</v>
      </c>
      <c r="E6" s="14" t="s">
        <v>57</v>
      </c>
      <c r="F6" s="14" t="s">
        <v>58</v>
      </c>
      <c r="G6" s="14" t="s">
        <v>59</v>
      </c>
    </row>
    <row r="7" customFormat="false" ht="30" hidden="false" customHeight="true" outlineLevel="0" collapsed="false">
      <c r="A7" s="15" t="n">
        <v>1</v>
      </c>
      <c r="B7" s="16" t="s">
        <v>60</v>
      </c>
      <c r="C7" s="17" t="n">
        <v>1000</v>
      </c>
      <c r="D7" s="17"/>
      <c r="E7" s="17"/>
      <c r="F7" s="18"/>
      <c r="G7" s="19" t="s">
        <v>61</v>
      </c>
    </row>
    <row r="8" customFormat="false" ht="30" hidden="false" customHeight="true" outlineLevel="0" collapsed="false">
      <c r="A8" s="15" t="n">
        <v>2</v>
      </c>
      <c r="B8" s="16" t="s">
        <v>62</v>
      </c>
      <c r="C8" s="17" t="n">
        <v>300</v>
      </c>
      <c r="D8" s="17"/>
      <c r="E8" s="17"/>
      <c r="F8" s="18" t="s">
        <v>63</v>
      </c>
      <c r="G8" s="19" t="s">
        <v>64</v>
      </c>
    </row>
    <row r="9" customFormat="false" ht="30" hidden="false" customHeight="true" outlineLevel="0" collapsed="false">
      <c r="A9" s="15" t="n">
        <v>3</v>
      </c>
      <c r="B9" s="16" t="s">
        <v>65</v>
      </c>
      <c r="C9" s="17" t="n">
        <v>360</v>
      </c>
      <c r="D9" s="17"/>
      <c r="E9" s="17"/>
      <c r="F9" s="18" t="s">
        <v>66</v>
      </c>
      <c r="G9" s="19" t="s">
        <v>67</v>
      </c>
    </row>
    <row r="10" customFormat="false" ht="30" hidden="false" customHeight="true" outlineLevel="0" collapsed="false">
      <c r="A10" s="15" t="n">
        <v>4</v>
      </c>
      <c r="B10" s="16" t="s">
        <v>68</v>
      </c>
      <c r="C10" s="17" t="n">
        <v>50</v>
      </c>
      <c r="D10" s="17" t="n">
        <v>80</v>
      </c>
      <c r="E10" s="17" t="n">
        <v>110</v>
      </c>
      <c r="F10" s="18"/>
      <c r="G10" s="19" t="s">
        <v>69</v>
      </c>
    </row>
    <row r="11" customFormat="false" ht="30" hidden="false" customHeight="true" outlineLevel="0" collapsed="false">
      <c r="A11" s="15" t="n">
        <v>5</v>
      </c>
      <c r="B11" s="16" t="s">
        <v>70</v>
      </c>
      <c r="C11" s="17" t="n">
        <v>240</v>
      </c>
      <c r="D11" s="17"/>
      <c r="E11" s="17"/>
      <c r="F11" s="18" t="s">
        <v>71</v>
      </c>
      <c r="G11" s="19" t="s">
        <v>72</v>
      </c>
    </row>
    <row r="12" customFormat="false" ht="30" hidden="false" customHeight="true" outlineLevel="0" collapsed="false">
      <c r="A12" s="15" t="n">
        <v>6</v>
      </c>
      <c r="B12" s="16" t="s">
        <v>73</v>
      </c>
      <c r="C12" s="17"/>
      <c r="D12" s="17" t="n">
        <v>90</v>
      </c>
      <c r="E12" s="17"/>
      <c r="F12" s="18" t="s">
        <v>74</v>
      </c>
      <c r="G12" s="19" t="s">
        <v>75</v>
      </c>
    </row>
    <row r="13" customFormat="false" ht="30" hidden="false" customHeight="true" outlineLevel="0" collapsed="false">
      <c r="A13" s="15" t="n">
        <v>7</v>
      </c>
      <c r="B13" s="16" t="s">
        <v>76</v>
      </c>
      <c r="C13" s="17" t="n">
        <v>15</v>
      </c>
      <c r="D13" s="17" t="n">
        <v>25</v>
      </c>
      <c r="E13" s="17" t="n">
        <v>35</v>
      </c>
      <c r="F13" s="18" t="s">
        <v>77</v>
      </c>
      <c r="G13" s="19" t="s">
        <v>78</v>
      </c>
    </row>
    <row r="14" customFormat="false" ht="30" hidden="false" customHeight="true" outlineLevel="0" collapsed="false">
      <c r="A14" s="15" t="n">
        <v>8</v>
      </c>
      <c r="B14" s="16" t="s">
        <v>79</v>
      </c>
      <c r="C14" s="17" t="n">
        <v>10</v>
      </c>
      <c r="D14" s="17" t="n">
        <v>10</v>
      </c>
      <c r="E14" s="17" t="n">
        <v>10</v>
      </c>
      <c r="F14" s="18"/>
      <c r="G14" s="19" t="s">
        <v>80</v>
      </c>
    </row>
    <row r="15" customFormat="false" ht="30" hidden="false" customHeight="true" outlineLevel="0" collapsed="false">
      <c r="A15" s="15" t="n">
        <v>9</v>
      </c>
      <c r="B15" s="16" t="s">
        <v>81</v>
      </c>
      <c r="C15" s="17" t="n">
        <v>120</v>
      </c>
      <c r="D15" s="17" t="n">
        <v>120</v>
      </c>
      <c r="E15" s="17" t="n">
        <v>120</v>
      </c>
      <c r="F15" s="18"/>
      <c r="G15" s="19" t="s">
        <v>82</v>
      </c>
    </row>
    <row r="16" customFormat="false" ht="30" hidden="false" customHeight="true" outlineLevel="0" collapsed="false">
      <c r="A16" s="15" t="n">
        <v>10</v>
      </c>
      <c r="B16" s="16" t="s">
        <v>83</v>
      </c>
      <c r="C16" s="17" t="n">
        <v>20</v>
      </c>
      <c r="D16" s="17" t="n">
        <v>20</v>
      </c>
      <c r="E16" s="17" t="n">
        <v>20</v>
      </c>
      <c r="F16" s="18"/>
      <c r="G16" s="19" t="s">
        <v>82</v>
      </c>
    </row>
    <row r="17" customFormat="false" ht="30" hidden="false" customHeight="true" outlineLevel="0" collapsed="false">
      <c r="A17" s="15" t="n">
        <v>11</v>
      </c>
      <c r="B17" s="16" t="s">
        <v>84</v>
      </c>
      <c r="C17" s="17" t="n">
        <v>0</v>
      </c>
      <c r="D17" s="17" t="n">
        <v>0</v>
      </c>
      <c r="E17" s="17" t="n">
        <v>0</v>
      </c>
      <c r="F17" s="18" t="s">
        <v>85</v>
      </c>
      <c r="G17" s="19" t="s">
        <v>86</v>
      </c>
    </row>
    <row r="19" customFormat="false" ht="16.5" hidden="false" customHeight="true" outlineLevel="0" collapsed="false">
      <c r="A19" s="20" t="s">
        <v>87</v>
      </c>
      <c r="B19" s="20"/>
      <c r="C19" s="20"/>
      <c r="D19" s="20"/>
      <c r="E19" s="20"/>
      <c r="F19" s="20"/>
      <c r="G19" s="20"/>
    </row>
    <row r="20" customFormat="false" ht="15" hidden="false" customHeight="true" outlineLevel="0" collapsed="false">
      <c r="B20" s="14" t="s">
        <v>88</v>
      </c>
      <c r="C20" s="14" t="s">
        <v>55</v>
      </c>
      <c r="D20" s="14" t="s">
        <v>56</v>
      </c>
      <c r="E20" s="14" t="s">
        <v>57</v>
      </c>
      <c r="F20" s="14" t="s">
        <v>89</v>
      </c>
      <c r="G20" s="14" t="s">
        <v>90</v>
      </c>
    </row>
    <row r="21" customFormat="false" ht="15" hidden="false" customHeight="true" outlineLevel="0" collapsed="false">
      <c r="B21" s="21" t="s">
        <v>91</v>
      </c>
      <c r="C21" s="22" t="n">
        <v>70</v>
      </c>
      <c r="D21" s="22" t="n">
        <v>190</v>
      </c>
      <c r="E21" s="22" t="n">
        <v>130</v>
      </c>
      <c r="F21" s="23" t="n">
        <f aca="false">IF(COUNT(C21:E21)=0,"",SUM(C21:E21))</f>
        <v>390</v>
      </c>
    </row>
    <row r="22" customFormat="false" ht="15" hidden="false" customHeight="true" outlineLevel="0" collapsed="false">
      <c r="B22" s="21" t="s">
        <v>92</v>
      </c>
      <c r="C22" s="22" t="n">
        <v>25</v>
      </c>
      <c r="D22" s="22" t="n">
        <v>35</v>
      </c>
      <c r="E22" s="22" t="n">
        <v>45</v>
      </c>
      <c r="F22" s="23" t="n">
        <f aca="false">IF(COUNT(C22:E22)=0,"",SUM(C22:E22))</f>
        <v>105</v>
      </c>
    </row>
    <row r="23" customFormat="false" ht="15" hidden="false" customHeight="true" outlineLevel="0" collapsed="false">
      <c r="B23" s="24" t="s">
        <v>93</v>
      </c>
      <c r="C23" s="22" t="n">
        <v>45</v>
      </c>
      <c r="D23" s="22" t="n">
        <v>155</v>
      </c>
      <c r="E23" s="22" t="n">
        <v>85</v>
      </c>
      <c r="F23" s="25" t="n">
        <f aca="false">IF(COUNT(C23:E23)=0,"",SUM(C23:E23))</f>
        <v>285</v>
      </c>
      <c r="G23" s="26" t="str">
        <f aca="false">IF(COUNT(C21:E21,C22:E22,C23:E23)&lt;9,"Chưa điền",IF(AND(ABS(C23-(C21-C22))&lt;0.01,ABS(D23-(D21-D22))&lt;0.01,ABS(E23-(E21-E22))&lt;0.01),"Đạt","Xem lại phép trừ"))</f>
        <v>Đạt</v>
      </c>
    </row>
    <row r="24" customFormat="false" ht="15" hidden="false" customHeight="true" outlineLevel="0" collapsed="false">
      <c r="B24" s="21" t="s">
        <v>94</v>
      </c>
      <c r="C24" s="22" t="n">
        <v>140</v>
      </c>
      <c r="D24" s="22" t="n">
        <v>140</v>
      </c>
      <c r="E24" s="22" t="n">
        <v>140</v>
      </c>
      <c r="F24" s="23" t="n">
        <f aca="false">IF(COUNT(C24:E24)=0,"",SUM(C24:E24))</f>
        <v>420</v>
      </c>
    </row>
    <row r="25" customFormat="false" ht="15" hidden="false" customHeight="true" outlineLevel="0" collapsed="false">
      <c r="B25" s="24" t="s">
        <v>95</v>
      </c>
      <c r="C25" s="22" t="n">
        <v>-95</v>
      </c>
      <c r="D25" s="22" t="n">
        <v>15</v>
      </c>
      <c r="E25" s="22" t="n">
        <v>-55</v>
      </c>
      <c r="F25" s="25" t="n">
        <f aca="false">IF(COUNT(C25:E25)=0,"",SUM(C25:E25))</f>
        <v>-135</v>
      </c>
      <c r="G25" s="26" t="str">
        <f aca="false">IF(COUNT(C23:E23,C24:E24,C25:E25)&lt;9,"Chưa điền",IF(AND(ABS(C25-(C23-C24))&lt;0.01,ABS(D25-(D23-D24))&lt;0.01,ABS(E25-(E23-E24))&lt;0.01),"Đạt","Xem lại phép trừ"))</f>
        <v>Đạt</v>
      </c>
    </row>
    <row r="26" customFormat="false" ht="15" hidden="false" customHeight="true" outlineLevel="0" collapsed="false">
      <c r="B26" s="21" t="s">
        <v>96</v>
      </c>
      <c r="C26" s="22" t="n">
        <v>10</v>
      </c>
      <c r="D26" s="22" t="n">
        <v>10</v>
      </c>
      <c r="E26" s="22" t="n">
        <v>10</v>
      </c>
      <c r="F26" s="23" t="n">
        <f aca="false">IF(COUNT(C26:E26)=0,"",SUM(C26:E26))</f>
        <v>30</v>
      </c>
    </row>
    <row r="27" customFormat="false" ht="15" hidden="false" customHeight="true" outlineLevel="0" collapsed="false">
      <c r="B27" s="24" t="s">
        <v>97</v>
      </c>
      <c r="C27" s="22" t="n">
        <v>-105</v>
      </c>
      <c r="D27" s="22" t="n">
        <v>5</v>
      </c>
      <c r="E27" s="22" t="n">
        <v>-65</v>
      </c>
      <c r="F27" s="25" t="n">
        <f aca="false">IF(COUNT(C27:E27)=0,"",SUM(C27:E27))</f>
        <v>-165</v>
      </c>
      <c r="G27" s="26" t="str">
        <f aca="false">IF(COUNT(C25:E25,C26:E26,C27:E27)&lt;9,"Chưa điền",IF(AND(ABS(C27-(C25-C26))&lt;0.01,ABS(D27-(D25-D26))&lt;0.01,ABS(E27-(E25-E26))&lt;0.01),"Đạt","Xem lại phép trừ"))</f>
        <v>Đạt</v>
      </c>
    </row>
    <row r="28" customFormat="false" ht="15" hidden="false" customHeight="true" outlineLevel="0" collapsed="false">
      <c r="B28" s="21" t="s">
        <v>98</v>
      </c>
      <c r="C28" s="22" t="n">
        <v>3</v>
      </c>
      <c r="D28" s="22" t="n">
        <v>3</v>
      </c>
      <c r="E28" s="22" t="n">
        <v>3</v>
      </c>
      <c r="F28" s="23" t="n">
        <f aca="false">IF(COUNT(C28:E28)=0,"",SUM(C28:E28))</f>
        <v>9</v>
      </c>
    </row>
    <row r="29" customFormat="false" ht="15" hidden="false" customHeight="true" outlineLevel="0" collapsed="false">
      <c r="B29" s="24" t="s">
        <v>99</v>
      </c>
      <c r="C29" s="22" t="n">
        <v>-108</v>
      </c>
      <c r="D29" s="22" t="n">
        <v>2</v>
      </c>
      <c r="E29" s="22" t="n">
        <v>-68</v>
      </c>
      <c r="F29" s="25" t="n">
        <f aca="false">IF(COUNT(C29:E29)=0,"",SUM(C29:E29))</f>
        <v>-174</v>
      </c>
      <c r="G29" s="26" t="str">
        <f aca="false">IF(COUNT(C27:E27,C28:E28,C29:E29)&lt;9,"Chưa điền",IF(AND(ABS(C29-(C27-C28))&lt;0.01,ABS(D29-(D27-D28))&lt;0.01,ABS(E29-(E27-E28))&lt;0.01),"Đạt","Xem lại phép trừ"))</f>
        <v>Đạt</v>
      </c>
    </row>
    <row r="30" customFormat="false" ht="15" hidden="false" customHeight="true" outlineLevel="0" collapsed="false">
      <c r="B30" s="21" t="s">
        <v>84</v>
      </c>
      <c r="C30" s="22" t="n">
        <v>0</v>
      </c>
      <c r="D30" s="22" t="n">
        <v>0</v>
      </c>
      <c r="E30" s="22" t="n">
        <v>0</v>
      </c>
      <c r="F30" s="23" t="n">
        <f aca="false">IF(COUNT(C30:E30)=0,"",SUM(C30:E30))</f>
        <v>0</v>
      </c>
    </row>
    <row r="31" customFormat="false" ht="15" hidden="false" customHeight="true" outlineLevel="0" collapsed="false">
      <c r="B31" s="24" t="s">
        <v>100</v>
      </c>
      <c r="C31" s="22" t="n">
        <v>-108</v>
      </c>
      <c r="D31" s="22" t="n">
        <v>2</v>
      </c>
      <c r="E31" s="22" t="n">
        <v>-68</v>
      </c>
      <c r="F31" s="25" t="n">
        <f aca="false">IF(COUNT(C31:E31)=0,"",SUM(C31:E31))</f>
        <v>-174</v>
      </c>
      <c r="G31" s="26" t="str">
        <f aca="false">IF(COUNT(C29:E29,C30:E30,C31:E31)&lt;9,"Chưa điền",IF(AND(ABS(C31-(C29-C30))&lt;0.01,ABS(D31-(D29-D30))&lt;0.01,ABS(E31-(E29-E30))&lt;0.01),"Đạt","Xem lại phép trừ"))</f>
        <v>Đạt</v>
      </c>
    </row>
    <row r="32" customFormat="false" ht="15" hidden="false" customHeight="true" outlineLevel="0" collapsed="false">
      <c r="B32" s="21" t="s">
        <v>101</v>
      </c>
      <c r="C32" s="27" t="n">
        <f aca="false">IFERROR(C23/C21,"")</f>
        <v>0.642857142857143</v>
      </c>
      <c r="D32" s="27" t="n">
        <f aca="false">IFERROR(D23/D21,"")</f>
        <v>0.81578947368421</v>
      </c>
      <c r="E32" s="27" t="n">
        <f aca="false">IFERROR(E23/E21,"")</f>
        <v>0.653846153846154</v>
      </c>
      <c r="F32" s="27" t="n">
        <f aca="false">IFERROR(F23/F21,"")</f>
        <v>0.730769230769231</v>
      </c>
    </row>
    <row r="33" customFormat="false" ht="45" hidden="false" customHeight="true" outlineLevel="0" collapsed="false">
      <c r="B33" s="28" t="s">
        <v>102</v>
      </c>
      <c r="G33" s="29" t="str">
        <f aca="false">IF(COUNT(C31:E31)&lt;3,"Chưa điền",IF(ABS(F31+174)&lt;0.01,"Đạt: đã ghi theo kỳ","Chưa đúng: có giao dịch đang ghi theo ngày tiền vào ra (xem cột G, dòng 7–17)"))</f>
        <v>Đạt: đã ghi theo kỳ</v>
      </c>
    </row>
    <row r="34" customFormat="false" ht="16.5" hidden="false" customHeight="true" outlineLevel="0" collapsed="false">
      <c r="A34" s="20" t="s">
        <v>103</v>
      </c>
      <c r="B34" s="20"/>
      <c r="C34" s="20"/>
      <c r="D34" s="20"/>
      <c r="E34" s="20"/>
      <c r="F34" s="20"/>
      <c r="G34" s="20"/>
    </row>
    <row r="35" customFormat="false" ht="15" hidden="false" customHeight="true" outlineLevel="0" collapsed="false">
      <c r="B35" s="14" t="s">
        <v>88</v>
      </c>
      <c r="C35" s="14" t="s">
        <v>104</v>
      </c>
      <c r="G35" s="14" t="s">
        <v>90</v>
      </c>
    </row>
    <row r="36" customFormat="false" ht="15" hidden="false" customHeight="true" outlineLevel="0" collapsed="false">
      <c r="B36" s="4" t="s">
        <v>105</v>
      </c>
    </row>
    <row r="37" customFormat="false" ht="15" hidden="false" customHeight="true" outlineLevel="0" collapsed="false">
      <c r="B37" s="21" t="s">
        <v>106</v>
      </c>
      <c r="C37" s="22" t="n">
        <v>921</v>
      </c>
    </row>
    <row r="38" customFormat="false" ht="15" hidden="false" customHeight="true" outlineLevel="0" collapsed="false">
      <c r="B38" s="21" t="s">
        <v>107</v>
      </c>
      <c r="C38" s="22" t="n">
        <v>90</v>
      </c>
    </row>
    <row r="39" customFormat="false" ht="15" hidden="false" customHeight="true" outlineLevel="0" collapsed="false">
      <c r="B39" s="21" t="s">
        <v>108</v>
      </c>
      <c r="C39" s="22" t="n">
        <v>360</v>
      </c>
    </row>
    <row r="40" customFormat="false" ht="15" hidden="false" customHeight="true" outlineLevel="0" collapsed="false">
      <c r="B40" s="21" t="s">
        <v>109</v>
      </c>
      <c r="C40" s="22" t="n">
        <v>-30</v>
      </c>
    </row>
    <row r="41" customFormat="false" ht="15" hidden="false" customHeight="true" outlineLevel="0" collapsed="false">
      <c r="B41" s="24" t="s">
        <v>110</v>
      </c>
      <c r="C41" s="22" t="n">
        <v>1341</v>
      </c>
      <c r="G41" s="26" t="str">
        <f aca="false">IF(COUNT(C37:C41)&lt;5,"Chưa điền",IF(ABS(C41-SUM(C37:C40))&lt;0.01,"Đạt","Xem lại phép cộng"))</f>
        <v>Đạt</v>
      </c>
    </row>
    <row r="42" customFormat="false" ht="15" hidden="false" customHeight="true" outlineLevel="0" collapsed="false">
      <c r="B42" s="4" t="s">
        <v>111</v>
      </c>
    </row>
    <row r="43" customFormat="false" ht="15" hidden="false" customHeight="true" outlineLevel="0" collapsed="false">
      <c r="B43" s="21" t="s">
        <v>112</v>
      </c>
      <c r="C43" s="22" t="n">
        <v>35</v>
      </c>
    </row>
    <row r="44" customFormat="false" ht="15" hidden="false" customHeight="true" outlineLevel="0" collapsed="false">
      <c r="B44" s="21" t="s">
        <v>113</v>
      </c>
      <c r="C44" s="22" t="n">
        <v>180</v>
      </c>
    </row>
    <row r="45" customFormat="false" ht="15" hidden="false" customHeight="true" outlineLevel="0" collapsed="false">
      <c r="B45" s="21" t="s">
        <v>114</v>
      </c>
      <c r="C45" s="22" t="n">
        <v>300</v>
      </c>
    </row>
    <row r="46" customFormat="false" ht="15" hidden="false" customHeight="true" outlineLevel="0" collapsed="false">
      <c r="B46" s="24" t="s">
        <v>115</v>
      </c>
      <c r="C46" s="22" t="n">
        <v>515</v>
      </c>
      <c r="G46" s="26" t="str">
        <f aca="false">IF(COUNT(C43:C46)&lt;4,"Chưa điền",IF(ABS(C46-SUM(C43:C45))&lt;0.01,"Đạt","Xem lại phép cộng"))</f>
        <v>Đạt</v>
      </c>
    </row>
    <row r="47" customFormat="false" ht="15" hidden="false" customHeight="true" outlineLevel="0" collapsed="false">
      <c r="B47" s="4" t="s">
        <v>116</v>
      </c>
    </row>
    <row r="48" customFormat="false" ht="15" hidden="false" customHeight="true" outlineLevel="0" collapsed="false">
      <c r="B48" s="21" t="s">
        <v>117</v>
      </c>
      <c r="C48" s="22" t="n">
        <v>1000</v>
      </c>
    </row>
    <row r="49" customFormat="false" ht="15" hidden="false" customHeight="true" outlineLevel="0" collapsed="false">
      <c r="B49" s="21" t="s">
        <v>118</v>
      </c>
      <c r="C49" s="22" t="n">
        <v>-174</v>
      </c>
    </row>
    <row r="50" customFormat="false" ht="15" hidden="false" customHeight="true" outlineLevel="0" collapsed="false">
      <c r="B50" s="24" t="s">
        <v>119</v>
      </c>
      <c r="C50" s="22" t="n">
        <v>826</v>
      </c>
      <c r="G50" s="26" t="str">
        <f aca="false">IF(COUNT(C48:C50)&lt;3,"Chưa điền",IF(ABS(C50-SUM(C48:C49))&lt;0.01,"Đạt","Xem lại phép cộng"))</f>
        <v>Đạt</v>
      </c>
    </row>
    <row r="51" customFormat="false" ht="15" hidden="false" customHeight="true" outlineLevel="0" collapsed="false">
      <c r="B51" s="21" t="s">
        <v>120</v>
      </c>
      <c r="C51" s="22" t="n">
        <v>1341</v>
      </c>
      <c r="G51" s="26" t="str">
        <f aca="false">IF(COUNT(C46,C50,C51)&lt;3,"Chưa điền",IF(ABS(C51-(C46+C50))&lt;0.01,"Đạt","Xem lại phép cộng"))</f>
        <v>Đạt</v>
      </c>
    </row>
    <row r="52" customFormat="false" ht="15" hidden="false" customHeight="true" outlineLevel="0" collapsed="false">
      <c r="B52" s="24" t="s">
        <v>121</v>
      </c>
      <c r="G52" s="30" t="str">
        <f aca="false">IF(COUNT(C41,C51)&lt;2,"Chưa điền",IF(ABS(C41-C51)&lt;0.01,"Đạt: bảng đã cân","Chưa cân: tìm khoản ghi sai"))</f>
        <v>Đạt: bảng đã cân</v>
      </c>
    </row>
    <row r="53" customFormat="false" ht="15" hidden="false" customHeight="true" outlineLevel="0" collapsed="false">
      <c r="B53" s="24" t="s">
        <v>122</v>
      </c>
      <c r="G53" s="30" t="str">
        <f aca="false">IF(COUNT(C49,F31)&lt;2,"Chưa điền",IF(ABS(C49-F31)&lt;0.01,"Đạt","Chưa khớp bài 1"))</f>
        <v>Đạt</v>
      </c>
    </row>
    <row r="55" customFormat="false" ht="16.5" hidden="false" customHeight="true" outlineLevel="0" collapsed="false">
      <c r="A55" s="20" t="s">
        <v>123</v>
      </c>
      <c r="B55" s="20"/>
      <c r="C55" s="20"/>
      <c r="D55" s="20"/>
      <c r="E55" s="20"/>
      <c r="F55" s="20"/>
      <c r="G55" s="20"/>
    </row>
    <row r="56" customFormat="false" ht="15" hidden="false" customHeight="true" outlineLevel="0" collapsed="false">
      <c r="B56" s="14" t="s">
        <v>88</v>
      </c>
      <c r="C56" s="14" t="s">
        <v>104</v>
      </c>
      <c r="G56" s="14" t="s">
        <v>90</v>
      </c>
    </row>
    <row r="57" customFormat="false" ht="15" hidden="false" customHeight="true" outlineLevel="0" collapsed="false">
      <c r="B57" s="21" t="s">
        <v>100</v>
      </c>
      <c r="C57" s="22" t="n">
        <v>-174</v>
      </c>
    </row>
    <row r="58" customFormat="false" ht="16.5" hidden="false" customHeight="true" outlineLevel="0" collapsed="false">
      <c r="B58" s="31" t="s">
        <v>124</v>
      </c>
      <c r="C58" s="22" t="n">
        <v>30</v>
      </c>
    </row>
    <row r="59" customFormat="false" ht="31.5" hidden="false" customHeight="true" outlineLevel="0" collapsed="false">
      <c r="B59" s="31" t="s">
        <v>125</v>
      </c>
      <c r="C59" s="22" t="n">
        <v>-90</v>
      </c>
    </row>
    <row r="60" customFormat="false" ht="31.5" hidden="false" customHeight="true" outlineLevel="0" collapsed="false">
      <c r="B60" s="31" t="s">
        <v>126</v>
      </c>
      <c r="C60" s="22" t="n">
        <v>35</v>
      </c>
    </row>
    <row r="61" customFormat="false" ht="16.5" hidden="false" customHeight="true" outlineLevel="0" collapsed="false">
      <c r="B61" s="31" t="s">
        <v>127</v>
      </c>
      <c r="C61" s="22" t="n">
        <v>180</v>
      </c>
    </row>
    <row r="62" customFormat="false" ht="15" hidden="false" customHeight="true" outlineLevel="0" collapsed="false">
      <c r="B62" s="24" t="s">
        <v>128</v>
      </c>
      <c r="C62" s="22" t="n">
        <v>-19</v>
      </c>
      <c r="G62" s="26" t="str">
        <f aca="false">IF(COUNT(C57:C62)&lt;6,"Chưa điền",IF(ABS(C62-SUM(C57:C61))&lt;0.01,"Đạt","Xem lại phép cộng"))</f>
        <v>Đạt</v>
      </c>
    </row>
    <row r="63" customFormat="false" ht="15" hidden="false" customHeight="true" outlineLevel="0" collapsed="false">
      <c r="B63" s="21" t="s">
        <v>129</v>
      </c>
      <c r="C63" s="22" t="n">
        <v>-360</v>
      </c>
    </row>
    <row r="64" customFormat="false" ht="15" hidden="false" customHeight="true" outlineLevel="0" collapsed="false">
      <c r="B64" s="24" t="s">
        <v>130</v>
      </c>
      <c r="C64" s="22" t="n">
        <v>-360</v>
      </c>
      <c r="G64" s="26" t="str">
        <f aca="false">IF(COUNT(C63:C64)&lt;2,"Chưa điền",IF(ABS(C64-SUM(C63:C63))&lt;0.01,"Đạt","Xem lại phép cộng"))</f>
        <v>Đạt</v>
      </c>
    </row>
    <row r="65" customFormat="false" ht="15" hidden="false" customHeight="true" outlineLevel="0" collapsed="false">
      <c r="B65" s="21" t="s">
        <v>131</v>
      </c>
      <c r="C65" s="22" t="n">
        <v>1000</v>
      </c>
    </row>
    <row r="66" customFormat="false" ht="15" hidden="false" customHeight="true" outlineLevel="0" collapsed="false">
      <c r="B66" s="21" t="s">
        <v>132</v>
      </c>
      <c r="C66" s="22" t="n">
        <v>300</v>
      </c>
    </row>
    <row r="67" customFormat="false" ht="15" hidden="false" customHeight="true" outlineLevel="0" collapsed="false">
      <c r="B67" s="24" t="s">
        <v>133</v>
      </c>
      <c r="C67" s="22" t="n">
        <v>1300</v>
      </c>
      <c r="G67" s="26" t="str">
        <f aca="false">IF(COUNT(C65:C67)&lt;3,"Chưa điền",IF(ABS(C67-SUM(C65:C66))&lt;0.01,"Đạt","Xem lại phép cộng"))</f>
        <v>Đạt</v>
      </c>
    </row>
    <row r="68" customFormat="false" ht="15" hidden="false" customHeight="true" outlineLevel="0" collapsed="false">
      <c r="B68" s="24" t="s">
        <v>134</v>
      </c>
      <c r="C68" s="22" t="n">
        <v>921</v>
      </c>
      <c r="G68" s="26" t="str">
        <f aca="false">IF(COUNT(C62,C64,C67,C68)&lt;4,"Chưa điền",IF(ABS(C68-(C62+C64+C67))&lt;0.01,"Đạt","Xem lại phép cộng"))</f>
        <v>Đạt</v>
      </c>
    </row>
    <row r="69" customFormat="false" ht="15" hidden="false" customHeight="true" outlineLevel="0" collapsed="false">
      <c r="B69" s="21" t="s">
        <v>135</v>
      </c>
      <c r="C69" s="32" t="n">
        <v>0</v>
      </c>
    </row>
    <row r="70" customFormat="false" ht="15" hidden="false" customHeight="true" outlineLevel="0" collapsed="false">
      <c r="B70" s="24" t="s">
        <v>136</v>
      </c>
      <c r="C70" s="22" t="n">
        <v>921</v>
      </c>
      <c r="G70" s="26" t="str">
        <f aca="false">IF(COUNT(C68:C70)&lt;3,"Chưa điền",IF(ABS(C70-(C68+C69))&lt;0.01,"Đạt","Xem lại phép cộng"))</f>
        <v>Đạt</v>
      </c>
    </row>
    <row r="71" customFormat="false" ht="31.5" hidden="false" customHeight="true" outlineLevel="0" collapsed="false">
      <c r="B71" s="24" t="s">
        <v>137</v>
      </c>
      <c r="G71" s="29" t="str">
        <f aca="false">IF(COUNT(C70,C37)&lt;2,"Chưa điền",IF(ABS(C70-C37)&lt;0.01,"Đạt: ba báo cáo đã khớp","Chưa khớp: soát dấu +/− ở dòng 58–66, rồi soát dòng Tiền ở bảng cân đối"))</f>
        <v>Đạt: ba báo cáo đã khớp</v>
      </c>
    </row>
    <row r="72" customFormat="false" ht="15" hidden="false" customHeight="true" outlineLevel="0" collapsed="false">
      <c r="B72" s="24" t="s">
        <v>138</v>
      </c>
      <c r="G72" s="30" t="str">
        <f aca="false">IF(COUNT(C57,F31)&lt;2,"Chưa điền",IF(ABS(C57-F31)&lt;0.01,"Đạt","Chưa khớp bài 1"))</f>
        <v>Đạt</v>
      </c>
    </row>
    <row r="74" customFormat="false" ht="15" hidden="false" customHeight="true" outlineLevel="0" collapsed="false">
      <c r="A74" s="4" t="s">
        <v>139</v>
      </c>
    </row>
    <row r="75" customFormat="false" ht="48" hidden="false" customHeight="true" outlineLevel="0" collapsed="false">
      <c r="B75" s="31" t="s">
        <v>140</v>
      </c>
      <c r="C75" s="33" t="s">
        <v>141</v>
      </c>
      <c r="D75" s="33"/>
      <c r="E75" s="33"/>
      <c r="F75" s="33"/>
      <c r="G75" s="33"/>
    </row>
    <row r="76" customFormat="false" ht="48" hidden="false" customHeight="true" outlineLevel="0" collapsed="false">
      <c r="B76" s="31" t="s">
        <v>142</v>
      </c>
      <c r="C76" s="33" t="s">
        <v>143</v>
      </c>
      <c r="D76" s="33"/>
      <c r="E76" s="33"/>
      <c r="F76" s="33"/>
      <c r="G76" s="33"/>
    </row>
    <row r="77" customFormat="false" ht="48" hidden="false" customHeight="true" outlineLevel="0" collapsed="false">
      <c r="B77" s="31" t="s">
        <v>144</v>
      </c>
      <c r="C77" s="33" t="s">
        <v>145</v>
      </c>
      <c r="D77" s="33"/>
      <c r="E77" s="33"/>
      <c r="F77" s="33"/>
      <c r="G77" s="33"/>
    </row>
    <row r="78" customFormat="false" ht="48" hidden="false" customHeight="true" outlineLevel="0" collapsed="false">
      <c r="B78" s="31" t="s">
        <v>146</v>
      </c>
      <c r="C78" s="33" t="s">
        <v>147</v>
      </c>
      <c r="D78" s="33"/>
      <c r="E78" s="33"/>
      <c r="F78" s="33"/>
      <c r="G78" s="33"/>
    </row>
    <row r="80" customFormat="false" ht="15" hidden="false" customHeight="true" outlineLevel="0" collapsed="false">
      <c r="A80" s="4" t="s">
        <v>148</v>
      </c>
    </row>
    <row r="81" customFormat="false" ht="31.5" hidden="false" customHeight="true" outlineLevel="0" collapsed="false">
      <c r="B81" s="13" t="s">
        <v>149</v>
      </c>
      <c r="C81" s="13"/>
      <c r="D81" s="13"/>
      <c r="E81" s="13"/>
      <c r="F81" s="13"/>
      <c r="G81" s="13"/>
    </row>
    <row r="82" customFormat="false" ht="15" hidden="false" customHeight="true" outlineLevel="0" collapsed="false">
      <c r="B82" s="21" t="s">
        <v>150</v>
      </c>
      <c r="C82" s="32" t="n">
        <v>360</v>
      </c>
    </row>
    <row r="83" customFormat="false" ht="15" hidden="false" customHeight="true" outlineLevel="0" collapsed="false">
      <c r="B83" s="21" t="s">
        <v>151</v>
      </c>
      <c r="C83" s="32" t="n">
        <v>12</v>
      </c>
    </row>
    <row r="84" customFormat="false" ht="15" hidden="false" customHeight="true" outlineLevel="0" collapsed="false">
      <c r="B84" s="21" t="s">
        <v>152</v>
      </c>
      <c r="C84" s="32" t="n">
        <v>36</v>
      </c>
    </row>
    <row r="85" customFormat="false" ht="15" hidden="false" customHeight="true" outlineLevel="0" collapsed="false">
      <c r="B85" s="21" t="s">
        <v>153</v>
      </c>
      <c r="C85" s="34" t="n">
        <v>0.15</v>
      </c>
    </row>
    <row r="86" customFormat="false" ht="46.5" hidden="false" customHeight="true" outlineLevel="0" collapsed="false">
      <c r="B86" s="31" t="s">
        <v>154</v>
      </c>
      <c r="C86" s="35" t="n">
        <v>346.17</v>
      </c>
      <c r="G86" s="26" t="str">
        <f aca="false">IF(C86="","Chưa điền",IF(ABS(C86-PV(C85/12,C84,-C83))&lt;1,"Đạt","Xem lại"))</f>
        <v>Đạt</v>
      </c>
    </row>
    <row r="87" customFormat="false" ht="15" hidden="false" customHeight="true" outlineLevel="0" collapsed="false">
      <c r="B87" s="21" t="s">
        <v>155</v>
      </c>
      <c r="C87" s="36" t="s">
        <v>156</v>
      </c>
      <c r="G87" s="26" t="str">
        <f aca="false">IF(C87="","Chưa điền",IF(C87=IF(PV(C85/12,C84,-C83)&lt;C82,"Thuê","Mua"),"Đạt","Xem lại"))</f>
        <v>Đạt</v>
      </c>
    </row>
    <row r="88" customFormat="false" ht="31.5" hidden="false" customHeight="true" outlineLevel="0" collapsed="false">
      <c r="B88" s="31" t="s">
        <v>157</v>
      </c>
      <c r="C88" s="35" t="n">
        <v>382.94</v>
      </c>
      <c r="G88" s="26" t="str">
        <f aca="false">IF(C88="","Chưa điền",IF(ABS(C88-PV(0.08/12,C84,-C83))&lt;1,"Đạt","Xem lại"))</f>
        <v>Đạt</v>
      </c>
    </row>
    <row r="89" customFormat="false" ht="15" hidden="false" customHeight="true" outlineLevel="0" collapsed="false">
      <c r="B89" s="21" t="s">
        <v>158</v>
      </c>
      <c r="C89" s="36" t="s">
        <v>159</v>
      </c>
      <c r="G89" s="26" t="str">
        <f aca="false">IF(C89="","Chưa điền",IF(C89=IF(PV(0.08/12,C84,-C83)&lt;C82,"Thuê","Mua"),"Đạt","Xem lại"))</f>
        <v>Đạt</v>
      </c>
    </row>
  </sheetData>
  <sheetProtection sheet="true" formatColumns="false" formatRows="false"/>
  <mergeCells count="9">
    <mergeCell ref="A3:G3"/>
    <mergeCell ref="A19:G19"/>
    <mergeCell ref="A34:G34"/>
    <mergeCell ref="A55:G55"/>
    <mergeCell ref="C75:G75"/>
    <mergeCell ref="C76:G76"/>
    <mergeCell ref="C77:G77"/>
    <mergeCell ref="C78:G78"/>
    <mergeCell ref="B81:G81"/>
  </mergeCells>
  <dataValidations count="1">
    <dataValidation allowBlank="true" errorStyle="stop" operator="between" showDropDown="false" showErrorMessage="false" showInputMessage="false" sqref="C87 C89" type="list">
      <formula1>"Mua,Thuê"</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48.01"/>
    <col collapsed="false" customWidth="true" hidden="false" outlineLevel="0" max="2" min="2" style="0" width="22.01"/>
    <col collapsed="false" customWidth="true" hidden="false" outlineLevel="0" max="3" min="3" style="0" width="18"/>
    <col collapsed="false" customWidth="true" hidden="false" outlineLevel="0" max="4" min="4" style="0" width="60"/>
    <col collapsed="false" customWidth="true" hidden="false" outlineLevel="0" max="5" min="5" style="0" width="64.01"/>
  </cols>
  <sheetData>
    <row r="1" customFormat="false" ht="17.25" hidden="false" customHeight="true" outlineLevel="0" collapsed="false">
      <c r="A1" s="1" t="s">
        <v>160</v>
      </c>
    </row>
    <row r="2" customFormat="false" ht="15" hidden="false" customHeight="true" outlineLevel="0" collapsed="false">
      <c r="A2" s="8" t="s">
        <v>161</v>
      </c>
    </row>
    <row r="3" customFormat="false" ht="31.5" hidden="false" customHeight="true" outlineLevel="0" collapsed="false">
      <c r="A3" s="37" t="s">
        <v>162</v>
      </c>
      <c r="B3" s="37"/>
      <c r="C3" s="37"/>
      <c r="D3" s="37"/>
      <c r="E3" s="37"/>
    </row>
    <row r="4" customFormat="false" ht="15" hidden="false" customHeight="true" outlineLevel="0" collapsed="false">
      <c r="A4" s="14" t="s">
        <v>163</v>
      </c>
      <c r="B4" s="14" t="s">
        <v>164</v>
      </c>
      <c r="C4" s="14" t="s">
        <v>165</v>
      </c>
      <c r="D4" s="14" t="s">
        <v>166</v>
      </c>
      <c r="E4" s="14" t="s">
        <v>167</v>
      </c>
    </row>
    <row r="5" customFormat="false" ht="30" hidden="false" customHeight="true" outlineLevel="0" collapsed="false">
      <c r="A5" s="38" t="s">
        <v>168</v>
      </c>
      <c r="B5" s="39" t="s">
        <v>169</v>
      </c>
      <c r="C5" s="40"/>
      <c r="D5" s="41" t="s">
        <v>170</v>
      </c>
      <c r="E5" s="42" t="s">
        <v>171</v>
      </c>
    </row>
    <row r="6" customFormat="false" ht="30" hidden="false" customHeight="true" outlineLevel="0" collapsed="false">
      <c r="A6" s="38" t="s">
        <v>172</v>
      </c>
      <c r="B6" s="43" t="n">
        <v>1</v>
      </c>
      <c r="C6" s="40" t="s">
        <v>173</v>
      </c>
      <c r="D6" s="41" t="s">
        <v>170</v>
      </c>
      <c r="E6" s="42" t="s">
        <v>174</v>
      </c>
    </row>
    <row r="7" customFormat="false" ht="43.5" hidden="false" customHeight="true" outlineLevel="0" collapsed="false">
      <c r="A7" s="38" t="s">
        <v>175</v>
      </c>
      <c r="B7" s="43" t="n">
        <v>1200</v>
      </c>
      <c r="C7" s="40" t="s">
        <v>176</v>
      </c>
      <c r="D7" s="41" t="s">
        <v>170</v>
      </c>
      <c r="E7" s="42" t="s">
        <v>177</v>
      </c>
    </row>
    <row r="8" customFormat="false" ht="15.75" hidden="false" customHeight="true" outlineLevel="0" collapsed="false">
      <c r="A8" s="38" t="s">
        <v>178</v>
      </c>
      <c r="B8" s="43" t="n">
        <v>400</v>
      </c>
      <c r="C8" s="40" t="s">
        <v>176</v>
      </c>
      <c r="D8" s="41" t="s">
        <v>170</v>
      </c>
      <c r="E8" s="42" t="s">
        <v>179</v>
      </c>
    </row>
    <row r="9" customFormat="false" ht="43.5" hidden="false" customHeight="true" outlineLevel="0" collapsed="false">
      <c r="A9" s="38" t="s">
        <v>180</v>
      </c>
      <c r="B9" s="43" t="n">
        <v>0.1</v>
      </c>
      <c r="C9" s="40" t="s">
        <v>181</v>
      </c>
      <c r="D9" s="41" t="s">
        <v>182</v>
      </c>
      <c r="E9" s="42" t="s">
        <v>183</v>
      </c>
    </row>
    <row r="10" customFormat="false" ht="30" hidden="false" customHeight="true" outlineLevel="0" collapsed="false">
      <c r="A10" s="38" t="s">
        <v>184</v>
      </c>
      <c r="B10" s="43" t="n">
        <v>0.5</v>
      </c>
      <c r="C10" s="40" t="s">
        <v>181</v>
      </c>
      <c r="D10" s="41" t="s">
        <v>182</v>
      </c>
      <c r="E10" s="42" t="s">
        <v>185</v>
      </c>
    </row>
    <row r="11" customFormat="false" ht="30" hidden="false" customHeight="true" outlineLevel="0" collapsed="false">
      <c r="A11" s="38" t="s">
        <v>186</v>
      </c>
      <c r="B11" s="43" t="n">
        <v>26170</v>
      </c>
      <c r="C11" s="40" t="s">
        <v>187</v>
      </c>
      <c r="D11" s="41" t="s">
        <v>170</v>
      </c>
      <c r="E11" s="42" t="s">
        <v>188</v>
      </c>
    </row>
    <row r="12" customFormat="false" ht="30" hidden="false" customHeight="true" outlineLevel="0" collapsed="false">
      <c r="A12" s="38" t="s">
        <v>189</v>
      </c>
      <c r="B12" s="44" t="n">
        <v>0.05</v>
      </c>
      <c r="C12" s="40" t="s">
        <v>190</v>
      </c>
      <c r="D12" s="41" t="s">
        <v>170</v>
      </c>
      <c r="E12" s="42" t="s">
        <v>191</v>
      </c>
    </row>
    <row r="13" customFormat="false" ht="43.5" hidden="false" customHeight="true" outlineLevel="0" collapsed="false">
      <c r="A13" s="38" t="s">
        <v>192</v>
      </c>
      <c r="B13" s="43" t="n">
        <v>20</v>
      </c>
      <c r="C13" s="40" t="s">
        <v>193</v>
      </c>
      <c r="D13" s="41" t="s">
        <v>170</v>
      </c>
      <c r="E13" s="42" t="s">
        <v>194</v>
      </c>
    </row>
    <row r="14" customFormat="false" ht="30" hidden="false" customHeight="true" outlineLevel="0" collapsed="false">
      <c r="A14" s="38" t="s">
        <v>195</v>
      </c>
      <c r="B14" s="44" t="n">
        <v>0.02</v>
      </c>
      <c r="C14" s="40" t="s">
        <v>190</v>
      </c>
      <c r="D14" s="41" t="s">
        <v>170</v>
      </c>
      <c r="E14" s="42" t="s">
        <v>196</v>
      </c>
    </row>
    <row r="15" customFormat="false" ht="15.75" hidden="false" customHeight="true" outlineLevel="0" collapsed="false">
      <c r="A15" s="38" t="s">
        <v>197</v>
      </c>
      <c r="B15" s="43" t="n">
        <v>1</v>
      </c>
      <c r="C15" s="40" t="s">
        <v>198</v>
      </c>
      <c r="D15" s="41" t="s">
        <v>170</v>
      </c>
      <c r="E15" s="42" t="s">
        <v>199</v>
      </c>
    </row>
    <row r="16" customFormat="false" ht="30" hidden="false" customHeight="true" outlineLevel="0" collapsed="false">
      <c r="A16" s="38" t="s">
        <v>200</v>
      </c>
      <c r="B16" s="43" t="n">
        <v>40000</v>
      </c>
      <c r="C16" s="40" t="s">
        <v>201</v>
      </c>
      <c r="D16" s="41" t="s">
        <v>170</v>
      </c>
      <c r="E16" s="42" t="s">
        <v>202</v>
      </c>
    </row>
    <row r="17" customFormat="false" ht="30" hidden="false" customHeight="true" outlineLevel="0" collapsed="false">
      <c r="A17" s="38" t="s">
        <v>203</v>
      </c>
      <c r="B17" s="43" t="n">
        <v>5</v>
      </c>
      <c r="C17" s="40" t="s">
        <v>193</v>
      </c>
      <c r="D17" s="41" t="s">
        <v>170</v>
      </c>
      <c r="E17" s="42" t="s">
        <v>204</v>
      </c>
    </row>
    <row r="18" customFormat="false" ht="15.75" hidden="false" customHeight="true" outlineLevel="0" collapsed="false">
      <c r="A18" s="38" t="s">
        <v>205</v>
      </c>
      <c r="B18" s="43" t="n">
        <v>5</v>
      </c>
      <c r="C18" s="40" t="s">
        <v>193</v>
      </c>
      <c r="D18" s="41" t="s">
        <v>170</v>
      </c>
      <c r="E18" s="42" t="s">
        <v>206</v>
      </c>
    </row>
    <row r="20" customFormat="false" ht="15" hidden="false" customHeight="true" outlineLevel="0" collapsed="false">
      <c r="A20" s="4" t="s">
        <v>207</v>
      </c>
    </row>
    <row r="21" customFormat="false" ht="15" hidden="false" customHeight="true" outlineLevel="0" collapsed="false">
      <c r="A21" s="45" t="s">
        <v>208</v>
      </c>
      <c r="B21" s="46" t="n">
        <f aca="false">IFERROR(B6*(B7*B9+B8*B10)/1000000*B11*(1+B12),0)</f>
        <v>8.79312</v>
      </c>
    </row>
    <row r="22" customFormat="false" ht="15" hidden="false" customHeight="true" outlineLevel="0" collapsed="false">
      <c r="A22" s="45" t="s">
        <v>209</v>
      </c>
      <c r="B22" s="46" t="n">
        <f aca="false">IFERROR(B14*B15/60*B16,0)</f>
        <v>13.3333333333333</v>
      </c>
    </row>
    <row r="23" customFormat="false" ht="15" hidden="false" customHeight="true" outlineLevel="0" collapsed="false">
      <c r="A23" s="45" t="s">
        <v>210</v>
      </c>
      <c r="B23" s="46" t="n">
        <f aca="false">B13+B17+B18</f>
        <v>30</v>
      </c>
    </row>
    <row r="24" customFormat="false" ht="15.75" hidden="false" customHeight="true" outlineLevel="0" collapsed="false">
      <c r="A24" s="45" t="s">
        <v>211</v>
      </c>
      <c r="B24" s="47" t="n">
        <f aca="false">B21+B22+B23</f>
        <v>52.1264533333333</v>
      </c>
      <c r="E24" s="48" t="s">
        <v>212</v>
      </c>
    </row>
    <row r="25" customFormat="false" ht="15" hidden="false" customHeight="true" outlineLevel="0" collapsed="false">
      <c r="A25" s="45" t="s">
        <v>213</v>
      </c>
      <c r="B25" s="49" t="n">
        <f aca="false">IFERROR((B24-B21)/B21,0)</f>
        <v>4.92809529874872</v>
      </c>
      <c r="C25" s="50" t="s">
        <v>214</v>
      </c>
    </row>
    <row r="26" customFormat="false" ht="15" hidden="false" customHeight="true" outlineLevel="0" collapsed="false">
      <c r="A26" s="45" t="s">
        <v>215</v>
      </c>
      <c r="B26" s="46" t="n">
        <f aca="false">3*B24</f>
        <v>156.37936</v>
      </c>
      <c r="C26" s="50" t="s">
        <v>216</v>
      </c>
    </row>
    <row r="27" customFormat="false" ht="15" hidden="false" customHeight="true" outlineLevel="0" collapsed="false">
      <c r="A27" s="45" t="s">
        <v>217</v>
      </c>
      <c r="B27" s="46" t="n">
        <f aca="false">B24/(1-0.6)</f>
        <v>130.316133333333</v>
      </c>
      <c r="C27" s="50" t="s">
        <v>218</v>
      </c>
    </row>
  </sheetData>
  <sheetProtection sheet="true" formatColumns="false" formatRows="false"/>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44"/>
    <col collapsed="false" customWidth="true" hidden="false" outlineLevel="0" max="3" min="2" style="0" width="30.01"/>
    <col collapsed="false" customWidth="true" hidden="false" outlineLevel="0" max="4" min="4" style="0" width="22.01"/>
    <col collapsed="false" customWidth="true" hidden="false" outlineLevel="0" max="5" min="5" style="0" width="19.99"/>
    <col collapsed="false" customWidth="true" hidden="false" outlineLevel="0" max="6" min="6" style="0" width="18"/>
    <col collapsed="false" customWidth="true" hidden="false" outlineLevel="0" max="7" min="7" style="0" width="22.01"/>
    <col collapsed="false" customWidth="true" hidden="false" outlineLevel="0" max="8" min="8" style="0" width="19.99"/>
    <col collapsed="false" customWidth="true" hidden="false" outlineLevel="0" max="9" min="9" style="0" width="45.99"/>
  </cols>
  <sheetData>
    <row r="1" customFormat="false" ht="17.25" hidden="false" customHeight="true" outlineLevel="0" collapsed="false">
      <c r="A1" s="1" t="s">
        <v>219</v>
      </c>
    </row>
    <row r="2" customFormat="false" ht="15" hidden="false" customHeight="true" outlineLevel="0" collapsed="false">
      <c r="A2" s="8" t="s">
        <v>220</v>
      </c>
    </row>
    <row r="4" customFormat="false" ht="15" hidden="false" customHeight="true" outlineLevel="0" collapsed="false">
      <c r="A4" s="14" t="s">
        <v>221</v>
      </c>
      <c r="B4" s="14" t="s">
        <v>164</v>
      </c>
      <c r="C4" s="14" t="s">
        <v>58</v>
      </c>
      <c r="D4" s="14" t="s">
        <v>166</v>
      </c>
    </row>
    <row r="5" customFormat="false" ht="48" hidden="false" customHeight="true" outlineLevel="0" collapsed="false">
      <c r="A5" s="10" t="s">
        <v>222</v>
      </c>
      <c r="B5" s="51" t="s">
        <v>223</v>
      </c>
      <c r="C5" s="3" t="s">
        <v>224</v>
      </c>
      <c r="D5" s="52" t="s">
        <v>170</v>
      </c>
    </row>
    <row r="6" customFormat="false" ht="63" hidden="false" customHeight="true" outlineLevel="0" collapsed="false">
      <c r="A6" s="10" t="s">
        <v>225</v>
      </c>
      <c r="B6" s="51" t="s">
        <v>226</v>
      </c>
      <c r="C6" s="3" t="s">
        <v>227</v>
      </c>
      <c r="D6" s="52" t="s">
        <v>170</v>
      </c>
    </row>
    <row r="7" customFormat="false" ht="48" hidden="false" customHeight="true" outlineLevel="0" collapsed="false">
      <c r="A7" s="10" t="s">
        <v>228</v>
      </c>
      <c r="B7" s="51" t="s">
        <v>229</v>
      </c>
      <c r="D7" s="52" t="s">
        <v>170</v>
      </c>
    </row>
    <row r="8" customFormat="false" ht="48" hidden="false" customHeight="true" outlineLevel="0" collapsed="false">
      <c r="A8" s="10" t="s">
        <v>230</v>
      </c>
      <c r="B8" s="51" t="s">
        <v>231</v>
      </c>
      <c r="C8" s="3" t="s">
        <v>232</v>
      </c>
      <c r="D8" s="52" t="s">
        <v>170</v>
      </c>
    </row>
    <row r="9" customFormat="false" ht="15" hidden="false" customHeight="true" outlineLevel="0" collapsed="false">
      <c r="A9" s="45" t="s">
        <v>233</v>
      </c>
      <c r="B9" s="53" t="n">
        <v>99000</v>
      </c>
      <c r="C9" s="0" t="s">
        <v>193</v>
      </c>
      <c r="D9" s="52" t="s">
        <v>170</v>
      </c>
    </row>
    <row r="10" customFormat="false" ht="15" hidden="false" customHeight="true" outlineLevel="0" collapsed="false">
      <c r="A10" s="45" t="s">
        <v>234</v>
      </c>
      <c r="B10" s="53" t="n">
        <v>300</v>
      </c>
      <c r="C10" s="0" t="s">
        <v>235</v>
      </c>
      <c r="D10" s="52" t="s">
        <v>170</v>
      </c>
    </row>
    <row r="11" customFormat="false" ht="15" hidden="false" customHeight="true" outlineLevel="0" collapsed="false">
      <c r="A11" s="45" t="s">
        <v>236</v>
      </c>
      <c r="B11" s="53" t="n">
        <v>300</v>
      </c>
      <c r="C11" s="0" t="s">
        <v>237</v>
      </c>
      <c r="D11" s="52" t="s">
        <v>170</v>
      </c>
    </row>
    <row r="12" customFormat="false" ht="31.5" hidden="false" customHeight="true" outlineLevel="0" collapsed="false">
      <c r="A12" s="10" t="s">
        <v>238</v>
      </c>
      <c r="B12" s="53" t="n">
        <v>99000</v>
      </c>
      <c r="C12" s="0" t="s">
        <v>239</v>
      </c>
      <c r="D12" s="52" t="s">
        <v>170</v>
      </c>
    </row>
    <row r="14" customFormat="false" ht="46.5" hidden="false" customHeight="true" outlineLevel="0" collapsed="false">
      <c r="A14" s="14" t="s">
        <v>240</v>
      </c>
      <c r="B14" s="54" t="s">
        <v>241</v>
      </c>
      <c r="C14" s="54" t="s">
        <v>242</v>
      </c>
      <c r="D14" s="14" t="s">
        <v>243</v>
      </c>
      <c r="E14" s="54" t="s">
        <v>244</v>
      </c>
      <c r="F14" s="14" t="s">
        <v>245</v>
      </c>
      <c r="G14" s="14" t="s">
        <v>246</v>
      </c>
      <c r="H14" s="14" t="s">
        <v>247</v>
      </c>
      <c r="I14" s="14" t="s">
        <v>166</v>
      </c>
    </row>
    <row r="15" customFormat="false" ht="15" hidden="false" customHeight="true" outlineLevel="0" collapsed="false">
      <c r="A15" s="45" t="s">
        <v>248</v>
      </c>
      <c r="B15" s="55" t="n">
        <v>0.85</v>
      </c>
      <c r="C15" s="56" t="n">
        <v>120</v>
      </c>
      <c r="D15" s="46" t="n">
        <f aca="false">B9+MAX(0,C15-B10)*B11</f>
        <v>99000</v>
      </c>
      <c r="E15" s="46" t="n">
        <f aca="false">C15*'1_Chi phí mỗi việc'!B24</f>
        <v>6255.1744</v>
      </c>
      <c r="F15" s="49" t="n">
        <f aca="false">IFERROR((D15-E15)/D15,0)</f>
        <v>0.93681642020202</v>
      </c>
      <c r="G15" s="46" t="n">
        <f aca="false">B12</f>
        <v>99000</v>
      </c>
      <c r="H15" s="49" t="n">
        <f aca="false">IFERROR((G15-E15)/G15,0)</f>
        <v>0.93681642020202</v>
      </c>
      <c r="I15" s="52" t="s">
        <v>249</v>
      </c>
    </row>
    <row r="16" customFormat="false" ht="15" hidden="false" customHeight="true" outlineLevel="0" collapsed="false">
      <c r="A16" s="45" t="s">
        <v>250</v>
      </c>
      <c r="B16" s="55" t="n">
        <v>0.15</v>
      </c>
      <c r="C16" s="56" t="n">
        <v>1200</v>
      </c>
      <c r="D16" s="46" t="n">
        <f aca="false">B9+MAX(0,C16-B10)*B11</f>
        <v>369000</v>
      </c>
      <c r="E16" s="46" t="n">
        <f aca="false">C16*'1_Chi phí mỗi việc'!B24</f>
        <v>62551.744</v>
      </c>
      <c r="F16" s="49" t="n">
        <f aca="false">IFERROR((D16-E16)/D16,0)</f>
        <v>0.830483078590786</v>
      </c>
      <c r="G16" s="46" t="n">
        <f aca="false">B12</f>
        <v>99000</v>
      </c>
      <c r="H16" s="49" t="n">
        <f aca="false">IFERROR((G16-E16)/G16,0)</f>
        <v>0.368164202020202</v>
      </c>
      <c r="I16" s="52" t="s">
        <v>251</v>
      </c>
    </row>
    <row r="17" customFormat="false" ht="15" hidden="false" customHeight="true" outlineLevel="0" collapsed="false">
      <c r="A17" s="4" t="s">
        <v>252</v>
      </c>
      <c r="B17" s="49" t="n">
        <f aca="false">B15+B16</f>
        <v>1</v>
      </c>
      <c r="C17" s="57" t="n">
        <f aca="false">SUMPRODUCT(B15:B16,C15:C16)</f>
        <v>282</v>
      </c>
      <c r="D17" s="47" t="n">
        <f aca="false">SUMPRODUCT($B15:$B16,D15:D16)</f>
        <v>139500</v>
      </c>
      <c r="E17" s="47" t="n">
        <f aca="false">SUMPRODUCT($B15:$B16,E15:E16)</f>
        <v>14699.65984</v>
      </c>
      <c r="F17" s="58" t="n">
        <f aca="false">IFERROR((D17-E17)/D17,0)</f>
        <v>0.894626094336918</v>
      </c>
      <c r="G17" s="47" t="n">
        <f aca="false">SUMPRODUCT($B15:$B16,G15:G16)</f>
        <v>99000</v>
      </c>
      <c r="H17" s="58" t="n">
        <f aca="false">IFERROR((G17-E17)/G17,0)</f>
        <v>0.851518587474747</v>
      </c>
    </row>
    <row r="18" customFormat="false" ht="15" hidden="false" customHeight="true" outlineLevel="0" collapsed="false">
      <c r="A18" s="0" t="s">
        <v>253</v>
      </c>
      <c r="B18" s="59" t="str">
        <f aca="false">IF(B17=0,"Chưa điền",IF(ABS(B17-1)&lt;0.001,"Đạt","Sai: tổng khác 100%"))</f>
        <v>Đạt</v>
      </c>
    </row>
    <row r="19" customFormat="false" ht="15" hidden="false" customHeight="true" outlineLevel="0" collapsed="false">
      <c r="A19" s="0" t="s">
        <v>254</v>
      </c>
      <c r="B19" s="59" t="str">
        <f aca="false">IF(B11=0,"Chưa điền",IF(B11&gt;='1_Chi phí mỗi việc'!B26,"Đạt","Thấp hơn giá sàn"))</f>
        <v>Đạt</v>
      </c>
    </row>
    <row r="21" customFormat="false" ht="15" hidden="false" customHeight="true" outlineLevel="0" collapsed="false">
      <c r="A21" s="0" t="s">
        <v>255</v>
      </c>
      <c r="B21" s="58" t="n">
        <f aca="false">IFERROR(B16*D16/D17,0)</f>
        <v>0.396774193548387</v>
      </c>
    </row>
    <row r="22" customFormat="false" ht="15" hidden="false" customHeight="true" outlineLevel="0" collapsed="false">
      <c r="A22" s="0" t="s">
        <v>256</v>
      </c>
      <c r="B22" s="58" t="n">
        <f aca="false">IFERROR(B16*MAX(0,C16-B10)*B11/D17,0)</f>
        <v>0.290322580645161</v>
      </c>
    </row>
    <row r="23" customFormat="false" ht="15" hidden="false" customHeight="true" outlineLevel="0" collapsed="false">
      <c r="A23" s="0" t="s">
        <v>257</v>
      </c>
      <c r="B23" s="59" t="str">
        <f aca="false">IF(D17=0,"Chưa điền",IF(B21&gt;0.5,"Trên 50% doanh thu đến từ khách dùng nhiều: xem tình huống đặc biệt ở trang 5","Đạt"))</f>
        <v>Đạt</v>
      </c>
    </row>
    <row r="25" customFormat="false" ht="15" hidden="false" customHeight="true" outlineLevel="0" collapsed="false">
      <c r="A25" s="4" t="s">
        <v>258</v>
      </c>
    </row>
    <row r="26" customFormat="false" ht="15" hidden="false" customHeight="true" outlineLevel="0" collapsed="false">
      <c r="A26" s="21" t="s">
        <v>259</v>
      </c>
      <c r="B26" s="22" t="n">
        <v>3000000</v>
      </c>
      <c r="C26" s="21" t="s">
        <v>239</v>
      </c>
      <c r="D26" s="36" t="s">
        <v>170</v>
      </c>
    </row>
    <row r="27" customFormat="false" ht="15" hidden="false" customHeight="true" outlineLevel="0" collapsed="false">
      <c r="A27" s="21" t="s">
        <v>260</v>
      </c>
      <c r="B27" s="60" t="n">
        <v>0</v>
      </c>
      <c r="C27" s="21" t="s">
        <v>261</v>
      </c>
      <c r="D27" s="36" t="s">
        <v>170</v>
      </c>
    </row>
    <row r="28" customFormat="false" ht="45" hidden="false" customHeight="true" outlineLevel="0" collapsed="false">
      <c r="A28" s="14" t="s">
        <v>240</v>
      </c>
      <c r="B28" s="14" t="s">
        <v>262</v>
      </c>
      <c r="C28" s="14" t="s">
        <v>263</v>
      </c>
      <c r="D28" s="14" t="s">
        <v>264</v>
      </c>
      <c r="E28" s="14" t="s">
        <v>265</v>
      </c>
      <c r="F28" s="14" t="s">
        <v>266</v>
      </c>
    </row>
    <row r="29" customFormat="false" ht="30" hidden="false" customHeight="true" outlineLevel="0" collapsed="false">
      <c r="A29" s="21" t="s">
        <v>248</v>
      </c>
      <c r="B29" s="23" t="n">
        <f aca="false">D15</f>
        <v>99000</v>
      </c>
      <c r="C29" s="27" t="n">
        <f aca="false">IFERROR(B29/$B$26,"")</f>
        <v>0.033</v>
      </c>
      <c r="D29" s="61" t="str">
        <f aca="false">IF(C29="","",IF(C29&lt;0.5,"Dưới 50%: còn dư địa",IF(C29&lt;=0.7,"Trong vùng 50–70%","Trên 70%: khách thà thuê người? Xem dòng 34")))</f>
        <v>Dưới 50%: còn dư địa</v>
      </c>
      <c r="E29" s="62" t="n">
        <f aca="false">IFERROR(E15/B29,"")</f>
        <v>0.0631835797979798</v>
      </c>
      <c r="F29" s="26" t="str">
        <f aca="false">IF(E29="","",IF(E29&lt;0.3,"Ổn (dưới 0,3)",IF(E29&lt;=0.6,"Đáng lo (0,3–0,6)","Nguy (trên 0,6)")))</f>
        <v>Ổn (dưới 0,3)</v>
      </c>
    </row>
    <row r="30" customFormat="false" ht="30" hidden="false" customHeight="true" outlineLevel="0" collapsed="false">
      <c r="A30" s="21" t="s">
        <v>267</v>
      </c>
      <c r="B30" s="23" t="n">
        <f aca="false">D16</f>
        <v>369000</v>
      </c>
      <c r="C30" s="27" t="n">
        <f aca="false">IFERROR(B30/$B$26,"")</f>
        <v>0.123</v>
      </c>
      <c r="D30" s="61" t="str">
        <f aca="false">IF(C30="","",IF(C30&lt;0.5,"Dưới 50%: còn dư địa",IF(C30&lt;=0.7,"Trong vùng 50–70%","Trên 70%: khách thà thuê người? Xem dòng 34")))</f>
        <v>Dưới 50%: còn dư địa</v>
      </c>
      <c r="E30" s="62" t="n">
        <f aca="false">IFERROR(E16/B30,"")</f>
        <v>0.169516921409214</v>
      </c>
      <c r="F30" s="26" t="str">
        <f aca="false">IF(E30="","",IF(E30&lt;0.3,"Ổn (dưới 0,3)",IF(E30&lt;=0.6,"Đáng lo (0,3–0,6)","Nguy (trên 0,6)")))</f>
        <v>Ổn (dưới 0,3)</v>
      </c>
    </row>
    <row r="31" customFormat="false" ht="30" hidden="false" customHeight="true" outlineLevel="0" collapsed="false">
      <c r="A31" s="21" t="s">
        <v>268</v>
      </c>
      <c r="B31" s="23" t="n">
        <f aca="false">G16</f>
        <v>99000</v>
      </c>
      <c r="C31" s="27" t="n">
        <f aca="false">IFERROR(B31/$B$26,"")</f>
        <v>0.033</v>
      </c>
      <c r="D31" s="61" t="str">
        <f aca="false">IF(C31="","",IF(C31&lt;0.5,"Dưới 50%: còn dư địa",IF(C31&lt;=0.7,"Trong vùng 50–70%","Trên 70%: khách thà thuê người? Xem dòng 34")))</f>
        <v>Dưới 50%: còn dư địa</v>
      </c>
      <c r="E31" s="62" t="n">
        <f aca="false">IFERROR(E16/B31,"")</f>
        <v>0.631835797979798</v>
      </c>
      <c r="F31" s="26" t="str">
        <f aca="false">IF(E31="","",IF(E31&lt;0.3,"Ổn (dưới 0,3)",IF(E31&lt;=0.6,"Đáng lo (0,3–0,6)","Nguy (trên 0,6)")))</f>
        <v>Nguy (trên 0,6)</v>
      </c>
    </row>
    <row r="32" customFormat="false" ht="15" hidden="false" customHeight="true" outlineLevel="0" collapsed="false">
      <c r="A32" s="24" t="s">
        <v>269</v>
      </c>
      <c r="B32" s="63" t="n">
        <f aca="false">IFERROR((D17*(1-B27)-E17)/D17,"")</f>
        <v>0.894626094336918</v>
      </c>
      <c r="C32" s="26" t="str">
        <f aca="false">IF(B32="","",IF(B32&gt;0.5,"Ổn",IF(B32&gt;=0.35,"Đáng lo","Nguy")))</f>
        <v>Ổn</v>
      </c>
      <c r="D32" s="50" t="s">
        <v>270</v>
      </c>
    </row>
    <row r="33" customFormat="false" ht="30" hidden="false" customHeight="true" outlineLevel="0" collapsed="false">
      <c r="A33" s="13" t="s">
        <v>271</v>
      </c>
      <c r="B33" s="13"/>
      <c r="C33" s="13"/>
      <c r="D33" s="13"/>
      <c r="E33" s="13"/>
      <c r="F33" s="13"/>
      <c r="G33" s="13"/>
      <c r="H33" s="13"/>
      <c r="I33" s="13"/>
    </row>
    <row r="34" customFormat="false" ht="30" hidden="false" customHeight="true" outlineLevel="0" collapsed="false">
      <c r="A34" s="13" t="s">
        <v>272</v>
      </c>
      <c r="B34" s="13"/>
      <c r="C34" s="13"/>
      <c r="D34" s="13"/>
      <c r="E34" s="13"/>
      <c r="F34" s="13"/>
      <c r="G34" s="13"/>
      <c r="H34" s="13"/>
      <c r="I34" s="13"/>
    </row>
    <row r="35" customFormat="false" ht="15" hidden="false" customHeight="true" outlineLevel="0" collapsed="false">
      <c r="A35" s="4" t="s">
        <v>273</v>
      </c>
    </row>
    <row r="36" customFormat="false" ht="15" hidden="false" customHeight="true" outlineLevel="0" collapsed="false">
      <c r="A36" s="21" t="s">
        <v>274</v>
      </c>
      <c r="B36" s="13" t="s">
        <v>275</v>
      </c>
      <c r="C36" s="13"/>
      <c r="D36" s="13"/>
      <c r="E36" s="13"/>
      <c r="F36" s="13"/>
      <c r="G36" s="13"/>
      <c r="H36" s="13"/>
      <c r="I36" s="13"/>
    </row>
    <row r="37" customFormat="false" ht="30" hidden="false" customHeight="true" outlineLevel="0" collapsed="false">
      <c r="A37" s="21" t="s">
        <v>276</v>
      </c>
      <c r="B37" s="13" t="s">
        <v>277</v>
      </c>
      <c r="C37" s="13"/>
      <c r="D37" s="13"/>
      <c r="E37" s="13"/>
      <c r="F37" s="13"/>
      <c r="G37" s="13"/>
      <c r="H37" s="13"/>
      <c r="I37" s="13"/>
    </row>
    <row r="38" customFormat="false" ht="15" hidden="false" customHeight="true" outlineLevel="0" collapsed="false">
      <c r="A38" s="21" t="s">
        <v>278</v>
      </c>
      <c r="B38" s="13" t="s">
        <v>279</v>
      </c>
      <c r="C38" s="13"/>
      <c r="D38" s="13"/>
      <c r="E38" s="13"/>
      <c r="F38" s="13"/>
      <c r="G38" s="13"/>
      <c r="H38" s="13"/>
      <c r="I38" s="13"/>
    </row>
    <row r="39" customFormat="false" ht="15" hidden="false" customHeight="true" outlineLevel="0" collapsed="false">
      <c r="A39" s="21" t="s">
        <v>280</v>
      </c>
      <c r="B39" s="13" t="s">
        <v>281</v>
      </c>
      <c r="C39" s="13"/>
      <c r="D39" s="13"/>
      <c r="E39" s="13"/>
      <c r="F39" s="13"/>
      <c r="G39" s="13"/>
      <c r="H39" s="13"/>
      <c r="I39" s="13"/>
    </row>
    <row r="40" customFormat="false" ht="15" hidden="false" customHeight="true" outlineLevel="0" collapsed="false">
      <c r="A40" s="21" t="s">
        <v>282</v>
      </c>
      <c r="B40" s="13" t="s">
        <v>283</v>
      </c>
      <c r="C40" s="13"/>
      <c r="D40" s="13"/>
      <c r="E40" s="13"/>
      <c r="F40" s="13"/>
      <c r="G40" s="13"/>
      <c r="H40" s="13"/>
      <c r="I40" s="13"/>
    </row>
  </sheetData>
  <sheetProtection sheet="true" formatColumns="false" formatRows="false"/>
  <mergeCells count="7">
    <mergeCell ref="A33:I33"/>
    <mergeCell ref="A34:I34"/>
    <mergeCell ref="B36:I36"/>
    <mergeCell ref="B37:I37"/>
    <mergeCell ref="B38:I38"/>
    <mergeCell ref="B39:I39"/>
    <mergeCell ref="B40:I40"/>
  </mergeCells>
  <dataValidations count="2">
    <dataValidation allowBlank="true" errorStyle="stop" operator="between" showDropDown="false" showErrorMessage="false" showInputMessage="false" sqref="B6" type="list">
      <formula1>"Theo người dùng,Theo lượt dùng,Theo kết quả,Kết hợp (phí cố định + vượt hạn mức)"</formula1>
      <formula2>0</formula2>
    </dataValidation>
    <dataValidation allowBlank="true" error="Nhập tỷ lệ từ 0% đến 90%." errorStyle="stop" operator="between" showDropDown="false" showErrorMessage="true" showInputMessage="false" sqref="B27" type="decimal">
      <formula1>0</formula1>
      <formula2>0.9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44"/>
    <col collapsed="false" customWidth="true" hidden="false" outlineLevel="0" max="4" min="2" style="0" width="18"/>
    <col collapsed="false" customWidth="true" hidden="false" outlineLevel="0" max="5" min="5" style="0" width="14.01"/>
    <col collapsed="false" customWidth="true" hidden="false" outlineLevel="0" max="6" min="6" style="0" width="50"/>
    <col collapsed="false" customWidth="true" hidden="false" outlineLevel="0" max="7" min="7" style="0" width="56.01"/>
  </cols>
  <sheetData>
    <row r="1" customFormat="false" ht="17.25" hidden="false" customHeight="true" outlineLevel="0" collapsed="false">
      <c r="A1" s="1" t="s">
        <v>284</v>
      </c>
    </row>
    <row r="2" customFormat="false" ht="15" hidden="false" customHeight="true" outlineLevel="0" collapsed="false">
      <c r="A2" s="8" t="s">
        <v>285</v>
      </c>
    </row>
    <row r="4" customFormat="false" ht="15" hidden="false" customHeight="true" outlineLevel="0" collapsed="false">
      <c r="A4" s="14" t="s">
        <v>286</v>
      </c>
      <c r="B4" s="14" t="s">
        <v>287</v>
      </c>
      <c r="C4" s="14" t="s">
        <v>288</v>
      </c>
      <c r="D4" s="14" t="s">
        <v>289</v>
      </c>
      <c r="E4" s="14" t="s">
        <v>165</v>
      </c>
      <c r="F4" s="14" t="s">
        <v>166</v>
      </c>
      <c r="G4" s="14" t="s">
        <v>290</v>
      </c>
    </row>
    <row r="5" customFormat="false" ht="31.5" hidden="false" customHeight="true" outlineLevel="0" collapsed="false">
      <c r="A5" s="64" t="s">
        <v>291</v>
      </c>
      <c r="B5" s="65" t="n">
        <v>1.1</v>
      </c>
      <c r="C5" s="65" t="n">
        <v>1</v>
      </c>
      <c r="D5" s="65" t="n">
        <v>0.8</v>
      </c>
      <c r="E5" s="40" t="s">
        <v>292</v>
      </c>
      <c r="F5" s="66" t="s">
        <v>293</v>
      </c>
      <c r="G5" s="42" t="s">
        <v>294</v>
      </c>
    </row>
    <row r="6" customFormat="false" ht="31.5" hidden="false" customHeight="true" outlineLevel="0" collapsed="false">
      <c r="A6" s="64" t="s">
        <v>295</v>
      </c>
      <c r="B6" s="65" t="n">
        <v>0.9</v>
      </c>
      <c r="C6" s="65" t="n">
        <v>1</v>
      </c>
      <c r="D6" s="65" t="n">
        <v>1.2</v>
      </c>
      <c r="E6" s="40" t="s">
        <v>292</v>
      </c>
      <c r="F6" s="66" t="s">
        <v>293</v>
      </c>
      <c r="G6" s="42" t="s">
        <v>296</v>
      </c>
    </row>
    <row r="7" customFormat="false" ht="31.5" hidden="false" customHeight="true" outlineLevel="0" collapsed="false">
      <c r="A7" s="64" t="s">
        <v>297</v>
      </c>
      <c r="B7" s="67" t="n">
        <f aca="false">C7*1.3</f>
        <v>390</v>
      </c>
      <c r="C7" s="67" t="n">
        <v>300</v>
      </c>
      <c r="D7" s="67" t="n">
        <f aca="false">C7*0.5</f>
        <v>150</v>
      </c>
      <c r="E7" s="40" t="s">
        <v>298</v>
      </c>
      <c r="F7" s="66" t="s">
        <v>170</v>
      </c>
      <c r="G7" s="42" t="s">
        <v>299</v>
      </c>
    </row>
    <row r="8" customFormat="false" ht="46.5" hidden="false" customHeight="true" outlineLevel="0" collapsed="false">
      <c r="A8" s="64" t="s">
        <v>300</v>
      </c>
      <c r="B8" s="44" t="n">
        <f aca="false">C8*1.6</f>
        <v>0.128</v>
      </c>
      <c r="C8" s="44" t="n">
        <v>0.08</v>
      </c>
      <c r="D8" s="44" t="n">
        <f aca="false">C8*0.4</f>
        <v>0.032</v>
      </c>
      <c r="E8" s="40" t="s">
        <v>190</v>
      </c>
      <c r="F8" s="66" t="s">
        <v>170</v>
      </c>
      <c r="G8" s="42" t="s">
        <v>301</v>
      </c>
    </row>
    <row r="9" customFormat="false" ht="43.5" hidden="false" customHeight="true" outlineLevel="0" collapsed="false">
      <c r="A9" s="64" t="s">
        <v>302</v>
      </c>
      <c r="B9" s="44" t="n">
        <f aca="false">C9*0.6</f>
        <v>0.09</v>
      </c>
      <c r="C9" s="44" t="n">
        <v>0.15</v>
      </c>
      <c r="D9" s="44" t="n">
        <f aca="false">C9*1.6</f>
        <v>0.24</v>
      </c>
      <c r="E9" s="40" t="s">
        <v>190</v>
      </c>
      <c r="F9" s="66" t="s">
        <v>170</v>
      </c>
      <c r="G9" s="42" t="s">
        <v>303</v>
      </c>
    </row>
    <row r="10" customFormat="false" ht="31.5" hidden="false" customHeight="true" outlineLevel="0" collapsed="false">
      <c r="A10" s="64" t="s">
        <v>304</v>
      </c>
      <c r="B10" s="68" t="n">
        <f aca="false">C10*0.8</f>
        <v>560000</v>
      </c>
      <c r="C10" s="68" t="n">
        <v>700000</v>
      </c>
      <c r="D10" s="68" t="n">
        <f aca="false">C10*1.5</f>
        <v>1050000</v>
      </c>
      <c r="E10" s="40" t="s">
        <v>305</v>
      </c>
      <c r="F10" s="66" t="s">
        <v>170</v>
      </c>
      <c r="G10" s="42" t="s">
        <v>306</v>
      </c>
    </row>
    <row r="11" customFormat="false" ht="46.5" hidden="false" customHeight="true" outlineLevel="0" collapsed="false">
      <c r="A11" s="64" t="s">
        <v>307</v>
      </c>
      <c r="B11" s="68" t="n">
        <f aca="false">C11</f>
        <v>120000000</v>
      </c>
      <c r="C11" s="68" t="n">
        <v>120000000</v>
      </c>
      <c r="D11" s="68" t="n">
        <f aca="false">C11</f>
        <v>120000000</v>
      </c>
      <c r="E11" s="40" t="s">
        <v>239</v>
      </c>
      <c r="F11" s="66" t="s">
        <v>170</v>
      </c>
      <c r="G11" s="48" t="s">
        <v>308</v>
      </c>
    </row>
    <row r="12" customFormat="false" ht="76.5" hidden="false" customHeight="true" outlineLevel="0" collapsed="false">
      <c r="A12" s="10" t="s">
        <v>309</v>
      </c>
      <c r="B12" s="68" t="n">
        <f aca="false">C12</f>
        <v>400000000</v>
      </c>
      <c r="C12" s="68" t="n">
        <v>400000000</v>
      </c>
      <c r="D12" s="68" t="n">
        <f aca="false">C12</f>
        <v>400000000</v>
      </c>
      <c r="E12" s="40" t="s">
        <v>193</v>
      </c>
      <c r="F12" s="66" t="s">
        <v>170</v>
      </c>
      <c r="G12" s="48" t="s">
        <v>310</v>
      </c>
    </row>
    <row r="13" customFormat="false" ht="31.5" hidden="false" customHeight="true" outlineLevel="0" collapsed="false">
      <c r="A13" s="64" t="s">
        <v>311</v>
      </c>
      <c r="B13" s="68" t="n">
        <f aca="false">C13</f>
        <v>1500000000</v>
      </c>
      <c r="C13" s="68" t="n">
        <v>1500000000</v>
      </c>
      <c r="D13" s="68" t="n">
        <f aca="false">C13</f>
        <v>1500000000</v>
      </c>
      <c r="E13" s="40" t="s">
        <v>193</v>
      </c>
      <c r="F13" s="66" t="s">
        <v>170</v>
      </c>
      <c r="G13" s="42" t="s">
        <v>312</v>
      </c>
    </row>
    <row r="14" customFormat="false" ht="15.75" hidden="false" customHeight="true" outlineLevel="0" collapsed="false">
      <c r="A14" s="38" t="s">
        <v>313</v>
      </c>
      <c r="B14" s="44" t="n">
        <v>0.15</v>
      </c>
      <c r="C14" s="44" t="n">
        <v>0.15</v>
      </c>
      <c r="D14" s="44" t="n">
        <v>0.15</v>
      </c>
      <c r="E14" s="40" t="s">
        <v>190</v>
      </c>
      <c r="F14" s="69" t="s">
        <v>314</v>
      </c>
      <c r="G14" s="42" t="s">
        <v>315</v>
      </c>
    </row>
    <row r="16" customFormat="false" ht="15" hidden="false" customHeight="true" outlineLevel="0" collapsed="false">
      <c r="A16" s="4" t="s">
        <v>316</v>
      </c>
    </row>
    <row r="17" customFormat="false" ht="15" hidden="false" customHeight="true" outlineLevel="0" collapsed="false">
      <c r="A17" s="45" t="s">
        <v>317</v>
      </c>
      <c r="B17" s="46" t="n">
        <f aca="false">'2_Định giá'!D17*B5*(1-'2_Định giá'!$B$27)</f>
        <v>153450</v>
      </c>
      <c r="C17" s="46" t="n">
        <f aca="false">'2_Định giá'!D17*C5*(1-'2_Định giá'!$B$27)</f>
        <v>139500</v>
      </c>
      <c r="D17" s="46" t="n">
        <f aca="false">'2_Định giá'!D17*D5*(1-'2_Định giá'!$B$27)</f>
        <v>111600</v>
      </c>
    </row>
    <row r="18" customFormat="false" ht="15" hidden="false" customHeight="true" outlineLevel="0" collapsed="false">
      <c r="A18" s="45" t="s">
        <v>318</v>
      </c>
      <c r="B18" s="46" t="n">
        <f aca="false">'2_Định giá'!E17*B6</f>
        <v>13229.693856</v>
      </c>
      <c r="C18" s="46" t="n">
        <f aca="false">'2_Định giá'!E17*C6</f>
        <v>14699.65984</v>
      </c>
      <c r="D18" s="46" t="n">
        <f aca="false">'2_Định giá'!E17*D6</f>
        <v>17639.591808</v>
      </c>
    </row>
    <row r="19" customFormat="false" ht="15" hidden="false" customHeight="true" outlineLevel="0" collapsed="false">
      <c r="A19" s="50" t="s">
        <v>319</v>
      </c>
    </row>
    <row r="20" customFormat="false" ht="15" hidden="false" customHeight="true" outlineLevel="0" collapsed="false">
      <c r="A20" s="4" t="s">
        <v>320</v>
      </c>
    </row>
    <row r="21" customFormat="false" ht="15" hidden="false" customHeight="true" outlineLevel="0" collapsed="false">
      <c r="A21" s="0" t="s">
        <v>321</v>
      </c>
      <c r="B21" s="59" t="str">
        <f aca="false">IF(C9=0,"Chưa điền",IF(D9&gt;=1.5*C9,"Đạt","Chưa đủ sốc"))</f>
        <v>Đạt</v>
      </c>
    </row>
    <row r="22" customFormat="false" ht="15" hidden="false" customHeight="true" outlineLevel="0" collapsed="false">
      <c r="A22" s="0" t="s">
        <v>322</v>
      </c>
      <c r="B22" s="59" t="str">
        <f aca="false">IF(C10=0,"Chưa điền",IF(D10&gt;=1.5*C10,"Đạt","Chưa đủ sốc"))</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40"/>
    <col collapsed="false" customWidth="true" hidden="false" outlineLevel="0" max="4" min="2" style="0" width="18"/>
    <col collapsed="false" customWidth="true" hidden="false" outlineLevel="0" max="5" min="5" style="0" width="19.99"/>
  </cols>
  <sheetData>
    <row r="1" customFormat="false" ht="17.25" hidden="false" customHeight="true" outlineLevel="0" collapsed="false">
      <c r="A1" s="1" t="s">
        <v>323</v>
      </c>
    </row>
    <row r="2" customFormat="false" ht="15" hidden="false" customHeight="true" outlineLevel="0" collapsed="false">
      <c r="A2" s="8" t="s">
        <v>324</v>
      </c>
    </row>
    <row r="4" customFormat="false" ht="15" hidden="false" customHeight="true" outlineLevel="0" collapsed="false">
      <c r="A4" s="14" t="s">
        <v>325</v>
      </c>
      <c r="B4" s="14" t="s">
        <v>287</v>
      </c>
      <c r="C4" s="14" t="s">
        <v>288</v>
      </c>
      <c r="D4" s="14" t="s">
        <v>289</v>
      </c>
      <c r="E4" s="14" t="s">
        <v>326</v>
      </c>
    </row>
    <row r="5" customFormat="false" ht="15" hidden="false" customHeight="true" outlineLevel="0" collapsed="false">
      <c r="A5" s="45" t="s">
        <v>317</v>
      </c>
      <c r="B5" s="46" t="n">
        <f aca="false">'3_Giả định'!B17</f>
        <v>153450</v>
      </c>
      <c r="C5" s="46" t="n">
        <f aca="false">'3_Giả định'!C17</f>
        <v>139500</v>
      </c>
      <c r="D5" s="46" t="n">
        <f aca="false">'3_Giả định'!D17</f>
        <v>111600</v>
      </c>
    </row>
    <row r="6" customFormat="false" ht="15" hidden="false" customHeight="true" outlineLevel="0" collapsed="false">
      <c r="A6" s="45" t="s">
        <v>327</v>
      </c>
      <c r="B6" s="46" t="n">
        <f aca="false">'3_Giả định'!B17-'3_Giả định'!B18</f>
        <v>140220.306144</v>
      </c>
      <c r="C6" s="46" t="n">
        <f aca="false">'3_Giả định'!C17-'3_Giả định'!C18</f>
        <v>124800.34016</v>
      </c>
      <c r="D6" s="46" t="n">
        <f aca="false">'3_Giả định'!D17-'3_Giả định'!D18</f>
        <v>93960.408192</v>
      </c>
    </row>
    <row r="7" customFormat="false" ht="15" hidden="false" customHeight="true" outlineLevel="0" collapsed="false">
      <c r="A7" s="45" t="s">
        <v>101</v>
      </c>
      <c r="B7" s="49" t="n">
        <f aca="false">IFERROR(B6/B5,0)</f>
        <v>0.91378498627566</v>
      </c>
      <c r="C7" s="49" t="n">
        <f aca="false">IFERROR(C6/C5,0)</f>
        <v>0.894626094336918</v>
      </c>
      <c r="D7" s="49" t="n">
        <f aca="false">IFERROR(D6/D5,0)</f>
        <v>0.841939141505376</v>
      </c>
      <c r="E7" s="0" t="s">
        <v>328</v>
      </c>
    </row>
    <row r="8" customFormat="false" ht="15" hidden="false" customHeight="true" outlineLevel="0" collapsed="false">
      <c r="A8" s="45" t="s">
        <v>329</v>
      </c>
      <c r="B8" s="70" t="n">
        <f aca="false">IFERROR(1/'3_Giả định'!B9,0)</f>
        <v>11.1111111111111</v>
      </c>
      <c r="C8" s="70" t="n">
        <f aca="false">IFERROR(1/'3_Giả định'!C9,0)</f>
        <v>6.66666666666667</v>
      </c>
      <c r="D8" s="70" t="n">
        <f aca="false">IFERROR(1/'3_Giả định'!D9,0)</f>
        <v>4.16666666666667</v>
      </c>
    </row>
    <row r="9" customFormat="false" ht="15" hidden="false" customHeight="true" outlineLevel="0" collapsed="false">
      <c r="A9" s="45" t="s">
        <v>330</v>
      </c>
      <c r="B9" s="46" t="n">
        <f aca="false">B6*B8</f>
        <v>1558003.4016</v>
      </c>
      <c r="C9" s="46" t="n">
        <f aca="false">C6*C8</f>
        <v>832002.267733333</v>
      </c>
      <c r="D9" s="46" t="n">
        <f aca="false">D6*D8</f>
        <v>391501.7008</v>
      </c>
    </row>
    <row r="10" customFormat="false" ht="15" hidden="false" customHeight="true" outlineLevel="0" collapsed="false">
      <c r="A10" s="45" t="s">
        <v>331</v>
      </c>
      <c r="B10" s="46" t="n">
        <f aca="false">'3_Giả định'!B10</f>
        <v>560000</v>
      </c>
      <c r="C10" s="46" t="n">
        <f aca="false">'3_Giả định'!C10</f>
        <v>700000</v>
      </c>
      <c r="D10" s="46" t="n">
        <f aca="false">'3_Giả định'!D10</f>
        <v>1050000</v>
      </c>
    </row>
    <row r="11" customFormat="false" ht="15" hidden="false" customHeight="true" outlineLevel="0" collapsed="false">
      <c r="A11" s="45" t="s">
        <v>332</v>
      </c>
      <c r="B11" s="71" t="n">
        <f aca="false">IFERROR(B9/B10,0)</f>
        <v>2.78214893142857</v>
      </c>
      <c r="C11" s="71" t="n">
        <f aca="false">IFERROR(C9/C10,0)</f>
        <v>1.18857466819048</v>
      </c>
      <c r="D11" s="71" t="n">
        <f aca="false">IFERROR(D9/D10,0)</f>
        <v>0.372858762666667</v>
      </c>
      <c r="E11" s="3" t="s">
        <v>333</v>
      </c>
    </row>
    <row r="12" customFormat="false" ht="15" hidden="false" customHeight="true" outlineLevel="0" collapsed="false">
      <c r="A12" s="45" t="s">
        <v>334</v>
      </c>
      <c r="B12" s="70" t="n">
        <f aca="false">IFERROR(B10/B6,0)</f>
        <v>3.99371542824122</v>
      </c>
      <c r="C12" s="70" t="n">
        <f aca="false">IFERROR(C10/C6,0)</f>
        <v>5.60895907096541</v>
      </c>
      <c r="D12" s="70" t="n">
        <f aca="false">IFERROR(D10/D6,0)</f>
        <v>11.1749195241299</v>
      </c>
      <c r="E12" s="0" t="s">
        <v>335</v>
      </c>
    </row>
    <row r="13" customFormat="false" ht="15" hidden="false" customHeight="true" outlineLevel="0" collapsed="false">
      <c r="A13" s="45" t="s">
        <v>336</v>
      </c>
      <c r="B13" s="72" t="str">
        <f aca="false">IF(B5&lt;=0,"Chưa điền trang 2–3",IF(B6&lt;=0,"Lỗ trên từng khách",IF(AND(B11&gt;3,B12&lt;12,B7&gt;=0.6),"Khỏe",IF(B11&gt;=1,"Cần cải thiện","Đốt tiền"))))</f>
        <v>Cần cải thiện</v>
      </c>
      <c r="C13" s="72" t="str">
        <f aca="false">IF(C5&lt;=0,"Chưa điền trang 2–3",IF(C6&lt;=0,"Lỗ trên từng khách",IF(AND(C11&gt;3,C12&lt;12,C7&gt;=0.6),"Khỏe",IF(C11&gt;=1,"Cần cải thiện","Đốt tiền"))))</f>
        <v>Cần cải thiện</v>
      </c>
      <c r="D13" s="72" t="str">
        <f aca="false">IF(D5&lt;=0,"Chưa điền trang 2–3",IF(D6&lt;=0,"Lỗ trên từng khách",IF(AND(D11&gt;3,D12&lt;12,D7&gt;=0.6),"Khỏe",IF(D11&gt;=1,"Cần cải thiện","Đốt tiền"))))</f>
        <v>Đốt tiền</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65" activePane="bottomRight" state="frozen"/>
      <selection pane="topLeft" activeCell="A1" activeCellId="0" sqref="A1"/>
      <selection pane="topRight" activeCell="B1" activeCellId="0" sqref="B1"/>
      <selection pane="bottomLeft" activeCell="A65" activeCellId="0" sqref="A65"/>
      <selection pane="bottomRight" activeCell="A1" activeCellId="0" sqref="A1"/>
    </sheetView>
  </sheetViews>
  <sheetFormatPr defaultColWidth="8.640625" defaultRowHeight="14.25" zeroHeight="false" outlineLevelRow="1" outlineLevelCol="0"/>
  <cols>
    <col collapsed="false" customWidth="true" hidden="false" outlineLevel="0" max="1" min="1" style="0" width="37.99"/>
    <col collapsed="false" customWidth="true" hidden="false" outlineLevel="0" max="26" min="2" style="0" width="18"/>
  </cols>
  <sheetData>
    <row r="1" customFormat="false" ht="17.25" hidden="false" customHeight="true" outlineLevel="0" collapsed="false">
      <c r="A1" s="1" t="s">
        <v>337</v>
      </c>
    </row>
    <row r="2" customFormat="false" ht="15" hidden="false" customHeight="true" outlineLevel="0" collapsed="false">
      <c r="A2" s="8" t="s">
        <v>338</v>
      </c>
    </row>
    <row r="4" customFormat="false" ht="15" hidden="false" customHeight="true" outlineLevel="0" collapsed="false">
      <c r="A4" s="14" t="s">
        <v>339</v>
      </c>
      <c r="B4" s="14" t="s">
        <v>340</v>
      </c>
      <c r="C4" s="14" t="s">
        <v>341</v>
      </c>
      <c r="D4" s="14" t="s">
        <v>342</v>
      </c>
      <c r="E4" s="14" t="s">
        <v>343</v>
      </c>
      <c r="F4" s="14" t="s">
        <v>344</v>
      </c>
      <c r="G4" s="14" t="s">
        <v>345</v>
      </c>
      <c r="H4" s="14" t="s">
        <v>346</v>
      </c>
      <c r="I4" s="14" t="s">
        <v>347</v>
      </c>
      <c r="J4" s="14" t="s">
        <v>348</v>
      </c>
      <c r="K4" s="14" t="s">
        <v>349</v>
      </c>
      <c r="L4" s="14" t="s">
        <v>350</v>
      </c>
      <c r="M4" s="14" t="s">
        <v>351</v>
      </c>
      <c r="N4" s="14" t="s">
        <v>352</v>
      </c>
      <c r="O4" s="14" t="s">
        <v>353</v>
      </c>
      <c r="P4" s="14" t="s">
        <v>354</v>
      </c>
      <c r="Q4" s="14" t="s">
        <v>355</v>
      </c>
      <c r="R4" s="14" t="s">
        <v>356</v>
      </c>
      <c r="S4" s="14" t="s">
        <v>357</v>
      </c>
      <c r="T4" s="14" t="s">
        <v>358</v>
      </c>
      <c r="U4" s="14" t="s">
        <v>359</v>
      </c>
      <c r="V4" s="14" t="s">
        <v>360</v>
      </c>
      <c r="W4" s="14" t="s">
        <v>361</v>
      </c>
      <c r="X4" s="14" t="s">
        <v>362</v>
      </c>
      <c r="Y4" s="14" t="s">
        <v>363</v>
      </c>
      <c r="Z4" s="14" t="s">
        <v>364</v>
      </c>
    </row>
    <row r="5" customFormat="false" ht="15" hidden="false" customHeight="true" outlineLevel="0" collapsed="false">
      <c r="A5" s="73" t="s">
        <v>365</v>
      </c>
    </row>
    <row r="6" customFormat="false" ht="15" hidden="false" customHeight="true" outlineLevel="0" collapsed="false">
      <c r="A6" s="45" t="s">
        <v>366</v>
      </c>
      <c r="C6" s="74" t="n">
        <f aca="false">'3_Giả định'!$B$7*(1+'3_Giả định'!$B$8)^0</f>
        <v>390</v>
      </c>
      <c r="D6" s="74" t="n">
        <f aca="false">'3_Giả định'!$B$7*(1+'3_Giả định'!$B$8)^1</f>
        <v>439.92</v>
      </c>
      <c r="E6" s="74" t="n">
        <f aca="false">'3_Giả định'!$B$7*(1+'3_Giả định'!$B$8)^2</f>
        <v>496.22976</v>
      </c>
      <c r="F6" s="74" t="n">
        <f aca="false">'3_Giả định'!$B$7*(1+'3_Giả định'!$B$8)^3</f>
        <v>559.74716928</v>
      </c>
      <c r="G6" s="74" t="n">
        <f aca="false">'3_Giả định'!$B$7*(1+'3_Giả định'!$B$8)^4</f>
        <v>631.39480694784</v>
      </c>
      <c r="H6" s="74" t="n">
        <f aca="false">'3_Giả định'!$B$7*(1+'3_Giả định'!$B$8)^5</f>
        <v>712.213342237164</v>
      </c>
      <c r="I6" s="74" t="n">
        <f aca="false">'3_Giả định'!$B$7*(1+'3_Giả định'!$B$8)^6</f>
        <v>803.376650043521</v>
      </c>
      <c r="J6" s="74" t="n">
        <f aca="false">'3_Giả định'!$B$7*(1+'3_Giả định'!$B$8)^7</f>
        <v>906.208861249092</v>
      </c>
      <c r="K6" s="74" t="n">
        <f aca="false">'3_Giả định'!$B$7*(1+'3_Giả định'!$B$8)^8</f>
        <v>1022.20359548898</v>
      </c>
      <c r="L6" s="74" t="n">
        <f aca="false">'3_Giả định'!$B$7*(1+'3_Giả định'!$B$8)^9</f>
        <v>1153.04565571156</v>
      </c>
      <c r="M6" s="74" t="n">
        <f aca="false">'3_Giả định'!$B$7*(1+'3_Giả định'!$B$8)^10</f>
        <v>1300.63549964264</v>
      </c>
      <c r="N6" s="74" t="n">
        <f aca="false">'3_Giả định'!$B$7*(1+'3_Giả định'!$B$8)^11</f>
        <v>1467.1168435969</v>
      </c>
      <c r="O6" s="74" t="n">
        <f aca="false">'3_Giả định'!$B$7*(1+'3_Giả định'!$B$8)^12</f>
        <v>1654.90779957731</v>
      </c>
      <c r="P6" s="74" t="n">
        <f aca="false">'3_Giả định'!$B$7*(1+'3_Giả định'!$B$8)^13</f>
        <v>1866.7359979232</v>
      </c>
      <c r="Q6" s="74" t="n">
        <f aca="false">'3_Giả định'!$B$7*(1+'3_Giả định'!$B$8)^14</f>
        <v>2105.67820565737</v>
      </c>
      <c r="R6" s="74" t="n">
        <f aca="false">'3_Giả định'!$B$7*(1+'3_Giả định'!$B$8)^15</f>
        <v>2375.20501598152</v>
      </c>
      <c r="S6" s="74" t="n">
        <f aca="false">'3_Giả định'!$B$7*(1+'3_Giả định'!$B$8)^16</f>
        <v>2679.23125802715</v>
      </c>
      <c r="T6" s="74" t="n">
        <f aca="false">'3_Giả định'!$B$7*(1+'3_Giả định'!$B$8)^17</f>
        <v>3022.17285905463</v>
      </c>
      <c r="U6" s="74" t="n">
        <f aca="false">'3_Giả định'!$B$7*(1+'3_Giả định'!$B$8)^18</f>
        <v>3409.01098501362</v>
      </c>
      <c r="V6" s="74" t="n">
        <f aca="false">'3_Giả định'!$B$7*(1+'3_Giả định'!$B$8)^19</f>
        <v>3845.36439109536</v>
      </c>
      <c r="W6" s="74" t="n">
        <f aca="false">'3_Giả định'!$B$7*(1+'3_Giả định'!$B$8)^20</f>
        <v>4337.57103315557</v>
      </c>
      <c r="X6" s="74" t="n">
        <f aca="false">'3_Giả định'!$B$7*(1+'3_Giả định'!$B$8)^21</f>
        <v>4892.78012539948</v>
      </c>
      <c r="Y6" s="74" t="n">
        <f aca="false">'3_Giả định'!$B$7*(1+'3_Giả định'!$B$8)^22</f>
        <v>5519.05598145062</v>
      </c>
      <c r="Z6" s="74" t="n">
        <f aca="false">'3_Giả định'!$B$7*(1+'3_Giả định'!$B$8)^23</f>
        <v>6225.4951470763</v>
      </c>
    </row>
    <row r="7" customFormat="false" ht="15" hidden="false" customHeight="true" outlineLevel="0" collapsed="false">
      <c r="A7" s="45" t="s">
        <v>367</v>
      </c>
      <c r="B7" s="0" t="n">
        <v>0</v>
      </c>
      <c r="C7" s="74" t="n">
        <f aca="false">B7*(1-'3_Giả định'!$B$9)+C6</f>
        <v>390</v>
      </c>
      <c r="D7" s="74" t="n">
        <f aca="false">C7*(1-'3_Giả định'!$B$9)+D6</f>
        <v>794.82</v>
      </c>
      <c r="E7" s="74" t="n">
        <f aca="false">D7*(1-'3_Giả định'!$B$9)+E6</f>
        <v>1219.51596</v>
      </c>
      <c r="F7" s="74" t="n">
        <f aca="false">E7*(1-'3_Giả định'!$B$9)+F6</f>
        <v>1669.50669288</v>
      </c>
      <c r="G7" s="74" t="n">
        <f aca="false">F7*(1-'3_Giả định'!$B$9)+G6</f>
        <v>2150.64589746864</v>
      </c>
      <c r="H7" s="74" t="n">
        <f aca="false">G7*(1-'3_Giả định'!$B$9)+H6</f>
        <v>2669.30110893363</v>
      </c>
      <c r="I7" s="74" t="n">
        <f aca="false">H7*(1-'3_Giả định'!$B$9)+I6</f>
        <v>3232.44065917312</v>
      </c>
      <c r="J7" s="74" t="n">
        <f aca="false">I7*(1-'3_Giả định'!$B$9)+J6</f>
        <v>3847.72986109663</v>
      </c>
      <c r="K7" s="74" t="n">
        <f aca="false">J7*(1-'3_Giả định'!$B$9)+K6</f>
        <v>4523.63776908691</v>
      </c>
      <c r="L7" s="74" t="n">
        <f aca="false">K7*(1-'3_Giả định'!$B$9)+L6</f>
        <v>5269.55602558065</v>
      </c>
      <c r="M7" s="74" t="n">
        <f aca="false">L7*(1-'3_Giả định'!$B$9)+M6</f>
        <v>6095.93148292104</v>
      </c>
      <c r="N7" s="74" t="n">
        <f aca="false">M7*(1-'3_Giả định'!$B$9)+N6</f>
        <v>7014.41449305505</v>
      </c>
      <c r="O7" s="74" t="n">
        <f aca="false">N7*(1-'3_Giả định'!$B$9)+O6</f>
        <v>8038.0249882574</v>
      </c>
      <c r="P7" s="74" t="n">
        <f aca="false">O7*(1-'3_Giả định'!$B$9)+P6</f>
        <v>9181.33873723744</v>
      </c>
      <c r="Q7" s="74" t="n">
        <f aca="false">P7*(1-'3_Giả định'!$B$9)+Q6</f>
        <v>10460.6964565434</v>
      </c>
      <c r="R7" s="74" t="n">
        <f aca="false">Q7*(1-'3_Giả định'!$B$9)+R6</f>
        <v>11894.4387914361</v>
      </c>
      <c r="S7" s="74" t="n">
        <f aca="false">R7*(1-'3_Giả định'!$B$9)+S6</f>
        <v>13503.170558234</v>
      </c>
      <c r="T7" s="74" t="n">
        <f aca="false">S7*(1-'3_Giả định'!$B$9)+T6</f>
        <v>15310.0580670475</v>
      </c>
      <c r="U7" s="74" t="n">
        <f aca="false">T7*(1-'3_Giả định'!$B$9)+U6</f>
        <v>17341.1638260269</v>
      </c>
      <c r="V7" s="74" t="n">
        <f aca="false">U7*(1-'3_Giả định'!$B$9)+V6</f>
        <v>19625.8234727798</v>
      </c>
      <c r="W7" s="74" t="n">
        <f aca="false">V7*(1-'3_Giả định'!$B$9)+W6</f>
        <v>22197.0703933852</v>
      </c>
      <c r="X7" s="74" t="n">
        <f aca="false">W7*(1-'3_Giả định'!$B$9)+X6</f>
        <v>25092.11418338</v>
      </c>
      <c r="Y7" s="74" t="n">
        <f aca="false">X7*(1-'3_Giả định'!$B$9)+Y6</f>
        <v>28352.8798883264</v>
      </c>
      <c r="Z7" s="74" t="n">
        <f aca="false">Y7*(1-'3_Giả định'!$B$9)+Z6</f>
        <v>32026.6158454534</v>
      </c>
    </row>
    <row r="8" customFormat="false" ht="15" hidden="false" customHeight="true" outlineLevel="0" collapsed="false">
      <c r="A8" s="45" t="s">
        <v>91</v>
      </c>
      <c r="C8" s="75" t="n">
        <f aca="false">C7*'3_Giả định'!$B$17</f>
        <v>59845500</v>
      </c>
      <c r="D8" s="75" t="n">
        <f aca="false">D7*'3_Giả định'!$B$17</f>
        <v>121965129</v>
      </c>
      <c r="E8" s="75" t="n">
        <f aca="false">E7*'3_Giả định'!$B$17</f>
        <v>187134724.062</v>
      </c>
      <c r="F8" s="75" t="n">
        <f aca="false">F7*'3_Giả định'!$B$17</f>
        <v>256185802.022436</v>
      </c>
      <c r="G8" s="75" t="n">
        <f aca="false">G7*'3_Giả định'!$B$17</f>
        <v>330016612.966563</v>
      </c>
      <c r="H8" s="75" t="n">
        <f aca="false">H7*'3_Giả định'!$B$17</f>
        <v>409604255.165865</v>
      </c>
      <c r="I8" s="75" t="n">
        <f aca="false">I7*'3_Giả định'!$B$17</f>
        <v>496018019.150116</v>
      </c>
      <c r="J8" s="75" t="n">
        <f aca="false">J7*'3_Giả định'!$B$17</f>
        <v>590434147.185278</v>
      </c>
      <c r="K8" s="75" t="n">
        <f aca="false">K7*'3_Giả định'!$B$17</f>
        <v>694152215.666387</v>
      </c>
      <c r="L8" s="75" t="n">
        <f aca="false">L7*'3_Giả định'!$B$17</f>
        <v>808613372.125351</v>
      </c>
      <c r="M8" s="75" t="n">
        <f aca="false">M7*'3_Giả định'!$B$17</f>
        <v>935420686.054234</v>
      </c>
      <c r="N8" s="75" t="n">
        <f aca="false">N7*'3_Giả định'!$B$17</f>
        <v>1076361903.9593</v>
      </c>
      <c r="O8" s="75" t="n">
        <f aca="false">O7*'3_Giả định'!$B$17</f>
        <v>1233434934.4481</v>
      </c>
      <c r="P8" s="75" t="n">
        <f aca="false">P7*'3_Giả định'!$B$17</f>
        <v>1408876429.22909</v>
      </c>
      <c r="Q8" s="75" t="n">
        <f aca="false">Q7*'3_Giả định'!$B$17</f>
        <v>1605193871.25659</v>
      </c>
      <c r="R8" s="75" t="n">
        <f aca="false">R7*'3_Giả định'!$B$17</f>
        <v>1825201632.54586</v>
      </c>
      <c r="S8" s="75" t="n">
        <f aca="false">S7*'3_Giả định'!$B$17</f>
        <v>2072061522.161</v>
      </c>
      <c r="T8" s="75" t="n">
        <f aca="false">T7*'3_Giả định'!$B$17</f>
        <v>2349328410.38844</v>
      </c>
      <c r="U8" s="75" t="n">
        <f aca="false">U7*'3_Giả định'!$B$17</f>
        <v>2661001589.10382</v>
      </c>
      <c r="V8" s="75" t="n">
        <f aca="false">V7*'3_Giả định'!$B$17</f>
        <v>3011582611.89806</v>
      </c>
      <c r="W8" s="75" t="n">
        <f aca="false">W7*'3_Giả định'!$B$17</f>
        <v>3406140451.86496</v>
      </c>
      <c r="X8" s="75" t="n">
        <f aca="false">X7*'3_Giả định'!$B$17</f>
        <v>3850384921.43966</v>
      </c>
      <c r="Y8" s="75" t="n">
        <f aca="false">Y7*'3_Giả định'!$B$17</f>
        <v>4350749418.86369</v>
      </c>
      <c r="Z8" s="75" t="n">
        <f aca="false">Z7*'3_Giả định'!$B$17</f>
        <v>4914484201.48482</v>
      </c>
    </row>
    <row r="9" customFormat="false" ht="15" hidden="false" customHeight="true" outlineLevel="0" collapsed="false">
      <c r="A9" s="45" t="s">
        <v>368</v>
      </c>
      <c r="C9" s="75" t="n">
        <f aca="false">C7*'3_Giả định'!$B$18</f>
        <v>5159580.60384</v>
      </c>
      <c r="D9" s="75" t="n">
        <f aca="false">D7*'3_Giả định'!$B$18</f>
        <v>10515225.2706259</v>
      </c>
      <c r="E9" s="75" t="n">
        <f aca="false">E7*'3_Giả định'!$B$18</f>
        <v>16133822.8033059</v>
      </c>
      <c r="F9" s="75" t="n">
        <f aca="false">F7*'3_Giả định'!$B$18</f>
        <v>22087062.4373454</v>
      </c>
      <c r="G9" s="75" t="n">
        <f aca="false">G7*'3_Giả định'!$B$18</f>
        <v>28452386.8161725</v>
      </c>
      <c r="H9" s="75" t="n">
        <f aca="false">H7*'3_Giả định'!$B$18</f>
        <v>35314036.4806732</v>
      </c>
      <c r="I9" s="75" t="n">
        <f aca="false">I7*'3_Giả định'!$B$18</f>
        <v>42764200.3285472</v>
      </c>
      <c r="J9" s="75" t="n">
        <f aca="false">J7*'3_Giả định'!$B$18</f>
        <v>50904288.1028979</v>
      </c>
      <c r="K9" s="75" t="n">
        <f aca="false">K7*'3_Giả định'!$B$18</f>
        <v>59846342.8004587</v>
      </c>
      <c r="L9" s="75" t="n">
        <f aca="false">L7*'3_Giả định'!$B$18</f>
        <v>69714612.9754722</v>
      </c>
      <c r="M9" s="75" t="n">
        <f aca="false">M7*'3_Giả định'!$B$18</f>
        <v>80647307.2861975</v>
      </c>
      <c r="N9" s="75" t="n">
        <f aca="false">N7*'3_Giả định'!$B$18</f>
        <v>92798556.3222078</v>
      </c>
      <c r="O9" s="75" t="n">
        <f aca="false">O7*'3_Giả định'!$B$18</f>
        <v>106340609.801523</v>
      </c>
      <c r="P9" s="75" t="n">
        <f aca="false">P7*'3_Giả định'!$B$18</f>
        <v>121466300.681885</v>
      </c>
      <c r="Q9" s="75" t="n">
        <f aca="false">Q7*'3_Giả định'!$B$18</f>
        <v>138391811.640614</v>
      </c>
      <c r="R9" s="75" t="n">
        <f aca="false">R7*'3_Giả định'!$B$18</f>
        <v>157359783.79963</v>
      </c>
      <c r="S9" s="75" t="n">
        <f aca="false">S7*'3_Giả định'!$B$18</f>
        <v>178642812.570788</v>
      </c>
      <c r="T9" s="75" t="n">
        <f aca="false">T7*'3_Giả định'!$B$18</f>
        <v>202547381.144622</v>
      </c>
      <c r="U9" s="75" t="n">
        <f aca="false">U7*'3_Giả định'!$B$18</f>
        <v>229418288.525077</v>
      </c>
      <c r="V9" s="75" t="n">
        <f aca="false">V7*'3_Giả định'!$B$18</f>
        <v>259643636.216776</v>
      </c>
      <c r="W9" s="75" t="n">
        <f aca="false">W7*'3_Giả định'!$B$18</f>
        <v>293660445.804568</v>
      </c>
      <c r="X9" s="75" t="n">
        <f aca="false">X7*'3_Giả định'!$B$18</f>
        <v>331960988.845913</v>
      </c>
      <c r="Y9" s="75" t="n">
        <f aca="false">Y7*'3_Giả định'!$B$18</f>
        <v>375099920.858498</v>
      </c>
      <c r="Z9" s="75" t="n">
        <f aca="false">Z7*'3_Giả định'!$B$18</f>
        <v>423702322.879067</v>
      </c>
    </row>
    <row r="10" customFormat="false" ht="15" hidden="false" customHeight="true" outlineLevel="0" collapsed="false">
      <c r="A10" s="45" t="s">
        <v>93</v>
      </c>
      <c r="C10" s="75" t="n">
        <f aca="false">C8-C9</f>
        <v>54685919.39616</v>
      </c>
      <c r="D10" s="75" t="n">
        <f aca="false">D8-D9</f>
        <v>111449903.729374</v>
      </c>
      <c r="E10" s="75" t="n">
        <f aca="false">E8-E9</f>
        <v>171000901.258694</v>
      </c>
      <c r="F10" s="75" t="n">
        <f aca="false">F8-F9</f>
        <v>234098739.585091</v>
      </c>
      <c r="G10" s="75" t="n">
        <f aca="false">G8-G9</f>
        <v>301564226.15039</v>
      </c>
      <c r="H10" s="75" t="n">
        <f aca="false">H8-H9</f>
        <v>374290218.685192</v>
      </c>
      <c r="I10" s="75" t="n">
        <f aca="false">I8-I9</f>
        <v>453253818.821568</v>
      </c>
      <c r="J10" s="75" t="n">
        <f aca="false">J8-J9</f>
        <v>539529859.08238</v>
      </c>
      <c r="K10" s="75" t="n">
        <f aca="false">K8-K9</f>
        <v>634305872.865928</v>
      </c>
      <c r="L10" s="75" t="n">
        <f aca="false">L8-L9</f>
        <v>738898759.149879</v>
      </c>
      <c r="M10" s="75" t="n">
        <f aca="false">M8-M9</f>
        <v>854773378.768036</v>
      </c>
      <c r="N10" s="75" t="n">
        <f aca="false">N8-N9</f>
        <v>983563347.63709</v>
      </c>
      <c r="O10" s="75" t="n">
        <f aca="false">O8-O9</f>
        <v>1127094324.64658</v>
      </c>
      <c r="P10" s="75" t="n">
        <f aca="false">P8-P9</f>
        <v>1287410128.5472</v>
      </c>
      <c r="Q10" s="75" t="n">
        <f aca="false">Q8-Q9</f>
        <v>1466802059.61598</v>
      </c>
      <c r="R10" s="75" t="n">
        <f aca="false">R8-R9</f>
        <v>1667841848.74623</v>
      </c>
      <c r="S10" s="75" t="n">
        <f aca="false">S8-S9</f>
        <v>1893418709.59021</v>
      </c>
      <c r="T10" s="75" t="n">
        <f aca="false">T8-T9</f>
        <v>2146781029.24382</v>
      </c>
      <c r="U10" s="75" t="n">
        <f aca="false">U8-U9</f>
        <v>2431583300.57875</v>
      </c>
      <c r="V10" s="75" t="n">
        <f aca="false">V8-V9</f>
        <v>2751938975.68129</v>
      </c>
      <c r="W10" s="75" t="n">
        <f aca="false">W8-W9</f>
        <v>3112480006.06039</v>
      </c>
      <c r="X10" s="75" t="n">
        <f aca="false">X8-X9</f>
        <v>3518423932.59375</v>
      </c>
      <c r="Y10" s="75" t="n">
        <f aca="false">Y8-Y9</f>
        <v>3975649498.00519</v>
      </c>
      <c r="Z10" s="75" t="n">
        <f aca="false">Z8-Z9</f>
        <v>4490781878.60575</v>
      </c>
    </row>
    <row r="11" customFormat="false" ht="15" hidden="false" customHeight="true" outlineLevel="0" collapsed="false">
      <c r="A11" s="45" t="s">
        <v>369</v>
      </c>
      <c r="C11" s="75" t="n">
        <f aca="false">C6*'3_Giả định'!$B$10</f>
        <v>218400000</v>
      </c>
      <c r="D11" s="75" t="n">
        <f aca="false">D6*'3_Giả định'!$B$10</f>
        <v>246355200</v>
      </c>
      <c r="E11" s="75" t="n">
        <f aca="false">E6*'3_Giả định'!$B$10</f>
        <v>277888665.6</v>
      </c>
      <c r="F11" s="75" t="n">
        <f aca="false">F6*'3_Giả định'!$B$10</f>
        <v>313458414.7968</v>
      </c>
      <c r="G11" s="75" t="n">
        <f aca="false">G6*'3_Giả định'!$B$10</f>
        <v>353581091.890791</v>
      </c>
      <c r="H11" s="75" t="n">
        <f aca="false">H6*'3_Giả định'!$B$10</f>
        <v>398839471.652812</v>
      </c>
      <c r="I11" s="75" t="n">
        <f aca="false">I6*'3_Giả định'!$B$10</f>
        <v>449890924.024372</v>
      </c>
      <c r="J11" s="75" t="n">
        <f aca="false">J6*'3_Giả định'!$B$10</f>
        <v>507476962.299491</v>
      </c>
      <c r="K11" s="75" t="n">
        <f aca="false">K6*'3_Giả định'!$B$10</f>
        <v>572434013.473826</v>
      </c>
      <c r="L11" s="75" t="n">
        <f aca="false">L6*'3_Giả định'!$B$10</f>
        <v>645705567.198476</v>
      </c>
      <c r="M11" s="75" t="n">
        <f aca="false">M6*'3_Giả định'!$B$10</f>
        <v>728355879.799881</v>
      </c>
      <c r="N11" s="75" t="n">
        <f aca="false">N6*'3_Giả định'!$B$10</f>
        <v>821585432.414266</v>
      </c>
      <c r="O11" s="75" t="n">
        <f aca="false">O6*'3_Giả định'!$B$10</f>
        <v>926748367.763292</v>
      </c>
      <c r="P11" s="75" t="n">
        <f aca="false">P6*'3_Giả định'!$B$10</f>
        <v>1045372158.83699</v>
      </c>
      <c r="Q11" s="75" t="n">
        <f aca="false">Q6*'3_Giả định'!$B$10</f>
        <v>1179179795.16813</v>
      </c>
      <c r="R11" s="75" t="n">
        <f aca="false">R6*'3_Giả định'!$B$10</f>
        <v>1330114808.94965</v>
      </c>
      <c r="S11" s="75" t="n">
        <f aca="false">S6*'3_Giả định'!$B$10</f>
        <v>1500369504.49521</v>
      </c>
      <c r="T11" s="75" t="n">
        <f aca="false">T6*'3_Giả định'!$B$10</f>
        <v>1692416801.07059</v>
      </c>
      <c r="U11" s="75" t="n">
        <f aca="false">U6*'3_Giả định'!$B$10</f>
        <v>1909046151.60763</v>
      </c>
      <c r="V11" s="75" t="n">
        <f aca="false">V6*'3_Giả định'!$B$10</f>
        <v>2153404059.0134</v>
      </c>
      <c r="W11" s="75" t="n">
        <f aca="false">W6*'3_Giả định'!$B$10</f>
        <v>2429039778.56712</v>
      </c>
      <c r="X11" s="75" t="n">
        <f aca="false">X6*'3_Giả định'!$B$10</f>
        <v>2739956870.22371</v>
      </c>
      <c r="Y11" s="75" t="n">
        <f aca="false">Y6*'3_Giả định'!$B$10</f>
        <v>3090671349.61235</v>
      </c>
      <c r="Z11" s="75" t="n">
        <f aca="false">Z6*'3_Giả định'!$B$10</f>
        <v>3486277282.36273</v>
      </c>
    </row>
    <row r="12" customFormat="false" ht="15" hidden="false" customHeight="true" outlineLevel="0" collapsed="false">
      <c r="A12" s="45" t="s">
        <v>370</v>
      </c>
      <c r="C12" s="75" t="n">
        <f aca="false">'3_Giả định'!$B$11</f>
        <v>120000000</v>
      </c>
      <c r="D12" s="75" t="n">
        <f aca="false">'3_Giả định'!$B$11</f>
        <v>120000000</v>
      </c>
      <c r="E12" s="75" t="n">
        <f aca="false">'3_Giả định'!$B$11</f>
        <v>120000000</v>
      </c>
      <c r="F12" s="75" t="n">
        <f aca="false">'3_Giả định'!$B$11</f>
        <v>120000000</v>
      </c>
      <c r="G12" s="75" t="n">
        <f aca="false">'3_Giả định'!$B$11</f>
        <v>120000000</v>
      </c>
      <c r="H12" s="75" t="n">
        <f aca="false">'3_Giả định'!$B$11</f>
        <v>120000000</v>
      </c>
      <c r="I12" s="75" t="n">
        <f aca="false">'3_Giả định'!$B$11</f>
        <v>120000000</v>
      </c>
      <c r="J12" s="75" t="n">
        <f aca="false">'3_Giả định'!$B$11</f>
        <v>120000000</v>
      </c>
      <c r="K12" s="75" t="n">
        <f aca="false">'3_Giả định'!$B$11</f>
        <v>120000000</v>
      </c>
      <c r="L12" s="75" t="n">
        <f aca="false">'3_Giả định'!$B$11</f>
        <v>120000000</v>
      </c>
      <c r="M12" s="75" t="n">
        <f aca="false">'3_Giả định'!$B$11</f>
        <v>120000000</v>
      </c>
      <c r="N12" s="75" t="n">
        <f aca="false">'3_Giả định'!$B$11</f>
        <v>120000000</v>
      </c>
      <c r="O12" s="75" t="n">
        <f aca="false">'3_Giả định'!$B$11</f>
        <v>120000000</v>
      </c>
      <c r="P12" s="75" t="n">
        <f aca="false">'3_Giả định'!$B$11</f>
        <v>120000000</v>
      </c>
      <c r="Q12" s="75" t="n">
        <f aca="false">'3_Giả định'!$B$11</f>
        <v>120000000</v>
      </c>
      <c r="R12" s="75" t="n">
        <f aca="false">'3_Giả định'!$B$11</f>
        <v>120000000</v>
      </c>
      <c r="S12" s="75" t="n">
        <f aca="false">'3_Giả định'!$B$11</f>
        <v>120000000</v>
      </c>
      <c r="T12" s="75" t="n">
        <f aca="false">'3_Giả định'!$B$11</f>
        <v>120000000</v>
      </c>
      <c r="U12" s="75" t="n">
        <f aca="false">'3_Giả định'!$B$11</f>
        <v>120000000</v>
      </c>
      <c r="V12" s="75" t="n">
        <f aca="false">'3_Giả định'!$B$11</f>
        <v>120000000</v>
      </c>
      <c r="W12" s="75" t="n">
        <f aca="false">'3_Giả định'!$B$11</f>
        <v>120000000</v>
      </c>
      <c r="X12" s="75" t="n">
        <f aca="false">'3_Giả định'!$B$11</f>
        <v>120000000</v>
      </c>
      <c r="Y12" s="75" t="n">
        <f aca="false">'3_Giả định'!$B$11</f>
        <v>120000000</v>
      </c>
      <c r="Z12" s="75" t="n">
        <f aca="false">'3_Giả định'!$B$11</f>
        <v>120000000</v>
      </c>
    </row>
    <row r="13" customFormat="false" ht="15" hidden="false" customHeight="true" outlineLevel="0" collapsed="false">
      <c r="A13" s="45" t="s">
        <v>371</v>
      </c>
      <c r="B13" s="75" t="n">
        <f aca="false">-'3_Giả định'!$B$12</f>
        <v>-400000000</v>
      </c>
      <c r="C13" s="75" t="n">
        <f aca="false">C10-C11-C12</f>
        <v>-283714080.60384</v>
      </c>
      <c r="D13" s="75" t="n">
        <f aca="false">D10-D11-D12</f>
        <v>-254905296.270626</v>
      </c>
      <c r="E13" s="75" t="n">
        <f aca="false">E10-E11-E12</f>
        <v>-226887764.341306</v>
      </c>
      <c r="F13" s="75" t="n">
        <f aca="false">F10-F11-F12</f>
        <v>-199359675.211709</v>
      </c>
      <c r="G13" s="75" t="n">
        <f aca="false">G10-G11-G12</f>
        <v>-172016865.7404</v>
      </c>
      <c r="H13" s="75" t="n">
        <f aca="false">H10-H11-H12</f>
        <v>-144549252.96762</v>
      </c>
      <c r="I13" s="75" t="n">
        <f aca="false">I10-I11-I12</f>
        <v>-116637105.202804</v>
      </c>
      <c r="J13" s="75" t="n">
        <f aca="false">J10-J11-J12</f>
        <v>-87947103.217111</v>
      </c>
      <c r="K13" s="75" t="n">
        <f aca="false">K10-K11-K12</f>
        <v>-58128140.6078985</v>
      </c>
      <c r="L13" s="75" t="n">
        <f aca="false">L10-L11-L12</f>
        <v>-26806808.048597</v>
      </c>
      <c r="M13" s="75" t="n">
        <f aca="false">M10-M11-M12</f>
        <v>6417498.96815503</v>
      </c>
      <c r="N13" s="75" t="n">
        <f aca="false">N10-N11-N12</f>
        <v>41977915.2228236</v>
      </c>
      <c r="O13" s="75" t="n">
        <f aca="false">O10-O11-O12</f>
        <v>80345956.8832829</v>
      </c>
      <c r="P13" s="75" t="n">
        <f aca="false">P10-P11-P12</f>
        <v>122037969.710207</v>
      </c>
      <c r="Q13" s="75" t="n">
        <f aca="false">Q10-Q11-Q12</f>
        <v>167622264.447849</v>
      </c>
      <c r="R13" s="75" t="n">
        <f aca="false">R10-R11-R12</f>
        <v>217727039.796583</v>
      </c>
      <c r="S13" s="75" t="n">
        <f aca="false">S10-S11-S12</f>
        <v>273049205.095008</v>
      </c>
      <c r="T13" s="75" t="n">
        <f aca="false">T10-T11-T12</f>
        <v>334364228.17323</v>
      </c>
      <c r="U13" s="75" t="n">
        <f aca="false">U10-U11-U12</f>
        <v>402537148.971118</v>
      </c>
      <c r="V13" s="75" t="n">
        <f aca="false">V10-V11-V12</f>
        <v>478534916.667883</v>
      </c>
      <c r="W13" s="75" t="n">
        <f aca="false">W10-W11-W12</f>
        <v>563440227.493272</v>
      </c>
      <c r="X13" s="75" t="n">
        <f aca="false">X10-X11-X12</f>
        <v>658467062.37004</v>
      </c>
      <c r="Y13" s="75" t="n">
        <f aca="false">Y10-Y11-Y12</f>
        <v>764978148.392847</v>
      </c>
      <c r="Z13" s="75" t="n">
        <f aca="false">Z10-Z11-Z12</f>
        <v>884504596.243023</v>
      </c>
    </row>
    <row r="14" customFormat="false" ht="15" hidden="false" customHeight="true" outlineLevel="0" collapsed="false">
      <c r="A14" s="45" t="s">
        <v>372</v>
      </c>
      <c r="B14" s="75" t="n">
        <f aca="false">'3_Giả định'!$B$13+B13</f>
        <v>1100000000</v>
      </c>
      <c r="C14" s="75" t="n">
        <f aca="false">B14+C13</f>
        <v>816285919.39616</v>
      </c>
      <c r="D14" s="75" t="n">
        <f aca="false">C14+D13</f>
        <v>561380623.125534</v>
      </c>
      <c r="E14" s="75" t="n">
        <f aca="false">D14+E13</f>
        <v>334492858.784228</v>
      </c>
      <c r="F14" s="75" t="n">
        <f aca="false">E14+F13</f>
        <v>135133183.572519</v>
      </c>
      <c r="G14" s="75" t="n">
        <f aca="false">F14+G13</f>
        <v>-36883682.1678815</v>
      </c>
      <c r="H14" s="75" t="n">
        <f aca="false">G14+H13</f>
        <v>-181432935.135501</v>
      </c>
      <c r="I14" s="75" t="n">
        <f aca="false">H14+I13</f>
        <v>-298070040.338305</v>
      </c>
      <c r="J14" s="75" t="n">
        <f aca="false">I14+J13</f>
        <v>-386017143.555416</v>
      </c>
      <c r="K14" s="75" t="n">
        <f aca="false">J14+K13</f>
        <v>-444145284.163314</v>
      </c>
      <c r="L14" s="75" t="n">
        <f aca="false">K14+L13</f>
        <v>-470952092.211911</v>
      </c>
      <c r="M14" s="75" t="n">
        <f aca="false">L14+M13</f>
        <v>-464534593.243756</v>
      </c>
      <c r="N14" s="75" t="n">
        <f aca="false">M14+N13</f>
        <v>-422556678.020933</v>
      </c>
      <c r="O14" s="75" t="n">
        <f aca="false">N14+O13</f>
        <v>-342210721.13765</v>
      </c>
      <c r="P14" s="75" t="n">
        <f aca="false">O14+P13</f>
        <v>-220172751.427443</v>
      </c>
      <c r="Q14" s="75" t="n">
        <f aca="false">P14+Q13</f>
        <v>-52550486.9795945</v>
      </c>
      <c r="R14" s="75" t="n">
        <f aca="false">Q14+R13</f>
        <v>165176552.816988</v>
      </c>
      <c r="S14" s="75" t="n">
        <f aca="false">R14+S13</f>
        <v>438225757.911997</v>
      </c>
      <c r="T14" s="75" t="n">
        <f aca="false">S14+T13</f>
        <v>772589986.085227</v>
      </c>
      <c r="U14" s="75" t="n">
        <f aca="false">T14+U13</f>
        <v>1175127135.05635</v>
      </c>
      <c r="V14" s="75" t="n">
        <f aca="false">U14+V13</f>
        <v>1653662051.72423</v>
      </c>
      <c r="W14" s="75" t="n">
        <f aca="false">V14+W13</f>
        <v>2217102279.2175</v>
      </c>
      <c r="X14" s="75" t="n">
        <f aca="false">W14+X13</f>
        <v>2875569341.58754</v>
      </c>
      <c r="Y14" s="75" t="n">
        <f aca="false">X14+Y13</f>
        <v>3640547489.98039</v>
      </c>
      <c r="Z14" s="75" t="n">
        <f aca="false">Y14+Z13</f>
        <v>4525052086.22341</v>
      </c>
    </row>
    <row r="15" customFormat="false" ht="15" hidden="false" customHeight="true" outlineLevel="0" collapsed="false">
      <c r="A15" s="45" t="s">
        <v>373</v>
      </c>
      <c r="B15" s="75" t="n">
        <f aca="false">B13</f>
        <v>-400000000</v>
      </c>
      <c r="C15" s="75" t="n">
        <f aca="false">B15+C13</f>
        <v>-683714080.60384</v>
      </c>
      <c r="D15" s="75" t="n">
        <f aca="false">C15+D13</f>
        <v>-938619376.874466</v>
      </c>
      <c r="E15" s="75" t="n">
        <f aca="false">D15+E13</f>
        <v>-1165507141.21577</v>
      </c>
      <c r="F15" s="75" t="n">
        <f aca="false">E15+F13</f>
        <v>-1364866816.42748</v>
      </c>
      <c r="G15" s="75" t="n">
        <f aca="false">F15+G13</f>
        <v>-1536883682.16788</v>
      </c>
      <c r="H15" s="75" t="n">
        <f aca="false">G15+H13</f>
        <v>-1681432935.1355</v>
      </c>
      <c r="I15" s="75" t="n">
        <f aca="false">H15+I13</f>
        <v>-1798070040.33831</v>
      </c>
      <c r="J15" s="75" t="n">
        <f aca="false">I15+J13</f>
        <v>-1886017143.55542</v>
      </c>
      <c r="K15" s="75" t="n">
        <f aca="false">J15+K13</f>
        <v>-1944145284.16331</v>
      </c>
      <c r="L15" s="75" t="n">
        <f aca="false">K15+L13</f>
        <v>-1970952092.21191</v>
      </c>
      <c r="M15" s="75" t="n">
        <f aca="false">L15+M13</f>
        <v>-1964534593.24376</v>
      </c>
      <c r="N15" s="75" t="n">
        <f aca="false">M15+N13</f>
        <v>-1922556678.02093</v>
      </c>
      <c r="O15" s="75" t="n">
        <f aca="false">N15+O13</f>
        <v>-1842210721.13765</v>
      </c>
      <c r="P15" s="75" t="n">
        <f aca="false">O15+P13</f>
        <v>-1720172751.42744</v>
      </c>
      <c r="Q15" s="75" t="n">
        <f aca="false">P15+Q13</f>
        <v>-1552550486.9796</v>
      </c>
      <c r="R15" s="75" t="n">
        <f aca="false">Q15+R13</f>
        <v>-1334823447.18301</v>
      </c>
      <c r="S15" s="75" t="n">
        <f aca="false">R15+S13</f>
        <v>-1061774242.088</v>
      </c>
      <c r="T15" s="75" t="n">
        <f aca="false">S15+T13</f>
        <v>-727410013.914774</v>
      </c>
      <c r="U15" s="75" t="n">
        <f aca="false">T15+U13</f>
        <v>-324872864.943655</v>
      </c>
      <c r="V15" s="75" t="n">
        <f aca="false">U15+V13</f>
        <v>153662051.724227</v>
      </c>
      <c r="W15" s="75" t="n">
        <f aca="false">V15+W13</f>
        <v>717102279.217499</v>
      </c>
      <c r="X15" s="75" t="n">
        <f aca="false">W15+X13</f>
        <v>1375569341.58754</v>
      </c>
      <c r="Y15" s="75" t="n">
        <f aca="false">X15+Y13</f>
        <v>2140547489.98039</v>
      </c>
      <c r="Z15" s="75" t="n">
        <f aca="false">Y15+Z13</f>
        <v>3025052086.22341</v>
      </c>
    </row>
    <row r="17" customFormat="false" ht="15" hidden="false" customHeight="true" outlineLevel="0" collapsed="false">
      <c r="A17" s="73" t="s">
        <v>374</v>
      </c>
    </row>
    <row r="18" customFormat="false" ht="15" hidden="false" customHeight="true" outlineLevel="0" collapsed="false">
      <c r="A18" s="45" t="s">
        <v>366</v>
      </c>
      <c r="C18" s="74" t="n">
        <f aca="false">'3_Giả định'!$C$7*(1+'3_Giả định'!$C$8)^0</f>
        <v>300</v>
      </c>
      <c r="D18" s="74" t="n">
        <f aca="false">'3_Giả định'!$C$7*(1+'3_Giả định'!$C$8)^1</f>
        <v>324</v>
      </c>
      <c r="E18" s="74" t="n">
        <f aca="false">'3_Giả định'!$C$7*(1+'3_Giả định'!$C$8)^2</f>
        <v>349.92</v>
      </c>
      <c r="F18" s="74" t="n">
        <f aca="false">'3_Giả định'!$C$7*(1+'3_Giả định'!$C$8)^3</f>
        <v>377.9136</v>
      </c>
      <c r="G18" s="74" t="n">
        <f aca="false">'3_Giả định'!$C$7*(1+'3_Giả định'!$C$8)^4</f>
        <v>408.146688</v>
      </c>
      <c r="H18" s="74" t="n">
        <f aca="false">'3_Giả định'!$C$7*(1+'3_Giả định'!$C$8)^5</f>
        <v>440.79842304</v>
      </c>
      <c r="I18" s="74" t="n">
        <f aca="false">'3_Giả định'!$C$7*(1+'3_Giả định'!$C$8)^6</f>
        <v>476.0622968832</v>
      </c>
      <c r="J18" s="74" t="n">
        <f aca="false">'3_Giả định'!$C$7*(1+'3_Giả định'!$C$8)^7</f>
        <v>514.147280633856</v>
      </c>
      <c r="K18" s="74" t="n">
        <f aca="false">'3_Giả định'!$C$7*(1+'3_Giả định'!$C$8)^8</f>
        <v>555.279063084565</v>
      </c>
      <c r="L18" s="74" t="n">
        <f aca="false">'3_Giả định'!$C$7*(1+'3_Giả định'!$C$8)^9</f>
        <v>599.70138813133</v>
      </c>
      <c r="M18" s="74" t="n">
        <f aca="false">'3_Giả định'!$C$7*(1+'3_Giả định'!$C$8)^10</f>
        <v>647.677499181836</v>
      </c>
      <c r="N18" s="74" t="n">
        <f aca="false">'3_Giả định'!$C$7*(1+'3_Giả định'!$C$8)^11</f>
        <v>699.491699116383</v>
      </c>
      <c r="O18" s="74" t="n">
        <f aca="false">'3_Giả định'!$C$7*(1+'3_Giả định'!$C$8)^12</f>
        <v>755.451035045694</v>
      </c>
      <c r="P18" s="74" t="n">
        <f aca="false">'3_Giả định'!$C$7*(1+'3_Giả định'!$C$8)^13</f>
        <v>815.88711784935</v>
      </c>
      <c r="Q18" s="74" t="n">
        <f aca="false">'3_Giả định'!$C$7*(1+'3_Giả định'!$C$8)^14</f>
        <v>881.158087277298</v>
      </c>
      <c r="R18" s="74" t="n">
        <f aca="false">'3_Giả định'!$C$7*(1+'3_Giả định'!$C$8)^15</f>
        <v>951.650734259482</v>
      </c>
      <c r="S18" s="74" t="n">
        <f aca="false">'3_Giả định'!$C$7*(1+'3_Giả định'!$C$8)^16</f>
        <v>1027.78279300024</v>
      </c>
      <c r="T18" s="74" t="n">
        <f aca="false">'3_Giả định'!$C$7*(1+'3_Giả định'!$C$8)^17</f>
        <v>1110.00541644026</v>
      </c>
      <c r="U18" s="74" t="n">
        <f aca="false">'3_Giả định'!$C$7*(1+'3_Giả định'!$C$8)^18</f>
        <v>1198.80584975548</v>
      </c>
      <c r="V18" s="74" t="n">
        <f aca="false">'3_Giả định'!$C$7*(1+'3_Giả định'!$C$8)^19</f>
        <v>1294.71031773592</v>
      </c>
      <c r="W18" s="74" t="n">
        <f aca="false">'3_Giả định'!$C$7*(1+'3_Giả định'!$C$8)^20</f>
        <v>1398.28714315479</v>
      </c>
      <c r="X18" s="74" t="n">
        <f aca="false">'3_Giả định'!$C$7*(1+'3_Giả định'!$C$8)^21</f>
        <v>1510.15011460718</v>
      </c>
      <c r="Y18" s="74" t="n">
        <f aca="false">'3_Giả định'!$C$7*(1+'3_Giả định'!$C$8)^22</f>
        <v>1630.96212377575</v>
      </c>
      <c r="Z18" s="74" t="n">
        <f aca="false">'3_Giả định'!$C$7*(1+'3_Giả định'!$C$8)^23</f>
        <v>1761.43909367781</v>
      </c>
    </row>
    <row r="19" customFormat="false" ht="15" hidden="false" customHeight="true" outlineLevel="0" collapsed="false">
      <c r="A19" s="45" t="s">
        <v>367</v>
      </c>
      <c r="B19" s="0" t="n">
        <v>0</v>
      </c>
      <c r="C19" s="74" t="n">
        <f aca="false">B19*(1-'3_Giả định'!$C$9)+C18</f>
        <v>300</v>
      </c>
      <c r="D19" s="74" t="n">
        <f aca="false">C19*(1-'3_Giả định'!$C$9)+D18</f>
        <v>579</v>
      </c>
      <c r="E19" s="74" t="n">
        <f aca="false">D19*(1-'3_Giả định'!$C$9)+E18</f>
        <v>842.07</v>
      </c>
      <c r="F19" s="74" t="n">
        <f aca="false">E19*(1-'3_Giả định'!$C$9)+F18</f>
        <v>1093.6731</v>
      </c>
      <c r="G19" s="74" t="n">
        <f aca="false">F19*(1-'3_Giả định'!$C$9)+G18</f>
        <v>1337.768823</v>
      </c>
      <c r="H19" s="74" t="n">
        <f aca="false">G19*(1-'3_Giả định'!$C$9)+H18</f>
        <v>1577.90192259</v>
      </c>
      <c r="I19" s="74" t="n">
        <f aca="false">H19*(1-'3_Giả định'!$C$9)+I18</f>
        <v>1817.2789310847</v>
      </c>
      <c r="J19" s="74" t="n">
        <f aca="false">I19*(1-'3_Giả định'!$C$9)+J18</f>
        <v>2058.83437205585</v>
      </c>
      <c r="K19" s="74" t="n">
        <f aca="false">J19*(1-'3_Giả định'!$C$9)+K18</f>
        <v>2305.28827933204</v>
      </c>
      <c r="L19" s="74" t="n">
        <f aca="false">K19*(1-'3_Giả định'!$C$9)+L18</f>
        <v>2559.19642556356</v>
      </c>
      <c r="M19" s="74" t="n">
        <f aca="false">L19*(1-'3_Giả định'!$C$9)+M18</f>
        <v>2822.99446091086</v>
      </c>
      <c r="N19" s="74" t="n">
        <f aca="false">M19*(1-'3_Giả định'!$C$9)+N18</f>
        <v>3099.03699089062</v>
      </c>
      <c r="O19" s="74" t="n">
        <f aca="false">N19*(1-'3_Giả định'!$C$9)+O18</f>
        <v>3389.63247730272</v>
      </c>
      <c r="P19" s="74" t="n">
        <f aca="false">O19*(1-'3_Giả định'!$C$9)+P18</f>
        <v>3697.07472355666</v>
      </c>
      <c r="Q19" s="74" t="n">
        <f aca="false">P19*(1-'3_Giả định'!$C$9)+Q18</f>
        <v>4023.67160230046</v>
      </c>
      <c r="R19" s="74" t="n">
        <f aca="false">Q19*(1-'3_Giả định'!$C$9)+R18</f>
        <v>4371.77159621487</v>
      </c>
      <c r="S19" s="74" t="n">
        <f aca="false">R19*(1-'3_Giả định'!$C$9)+S18</f>
        <v>4743.78864978288</v>
      </c>
      <c r="T19" s="74" t="n">
        <f aca="false">S19*(1-'3_Giả định'!$C$9)+T18</f>
        <v>5142.22576875571</v>
      </c>
      <c r="U19" s="74" t="n">
        <f aca="false">T19*(1-'3_Giả định'!$C$9)+U18</f>
        <v>5569.69775319783</v>
      </c>
      <c r="V19" s="74" t="n">
        <f aca="false">U19*(1-'3_Giả định'!$C$9)+V18</f>
        <v>6028.95340795408</v>
      </c>
      <c r="W19" s="74" t="n">
        <f aca="false">V19*(1-'3_Giả định'!$C$9)+W18</f>
        <v>6522.89753991576</v>
      </c>
      <c r="X19" s="74" t="n">
        <f aca="false">W19*(1-'3_Giả định'!$C$9)+X18</f>
        <v>7054.61302353557</v>
      </c>
      <c r="Y19" s="74" t="n">
        <f aca="false">X19*(1-'3_Giả định'!$C$9)+Y18</f>
        <v>7627.38319378098</v>
      </c>
      <c r="Z19" s="74" t="n">
        <f aca="false">Y19*(1-'3_Giả định'!$C$9)+Z18</f>
        <v>8244.71480839165</v>
      </c>
    </row>
    <row r="20" customFormat="false" ht="15" hidden="false" customHeight="true" outlineLevel="0" collapsed="false">
      <c r="A20" s="45" t="s">
        <v>91</v>
      </c>
      <c r="C20" s="75" t="n">
        <f aca="false">C19*'3_Giả định'!$C$17</f>
        <v>41850000</v>
      </c>
      <c r="D20" s="75" t="n">
        <f aca="false">D19*'3_Giả định'!$C$17</f>
        <v>80770500</v>
      </c>
      <c r="E20" s="75" t="n">
        <f aca="false">E19*'3_Giả định'!$C$17</f>
        <v>117468765</v>
      </c>
      <c r="F20" s="75" t="n">
        <f aca="false">F19*'3_Giả định'!$C$17</f>
        <v>152567397.45</v>
      </c>
      <c r="G20" s="75" t="n">
        <f aca="false">G19*'3_Giả định'!$C$17</f>
        <v>186618750.8085</v>
      </c>
      <c r="H20" s="75" t="n">
        <f aca="false">H19*'3_Giả định'!$C$17</f>
        <v>220117318.201305</v>
      </c>
      <c r="I20" s="75" t="n">
        <f aca="false">I19*'3_Giả định'!$C$17</f>
        <v>253510410.886316</v>
      </c>
      <c r="J20" s="75" t="n">
        <f aca="false">J19*'3_Giả định'!$C$17</f>
        <v>287207394.901791</v>
      </c>
      <c r="K20" s="75" t="n">
        <f aca="false">K19*'3_Giả định'!$C$17</f>
        <v>321587714.966819</v>
      </c>
      <c r="L20" s="75" t="n">
        <f aca="false">L19*'3_Giả định'!$C$17</f>
        <v>357007901.366117</v>
      </c>
      <c r="M20" s="75" t="n">
        <f aca="false">M19*'3_Giả định'!$C$17</f>
        <v>393807727.297066</v>
      </c>
      <c r="N20" s="75" t="n">
        <f aca="false">N19*'3_Giả định'!$C$17</f>
        <v>432315660.229241</v>
      </c>
      <c r="O20" s="75" t="n">
        <f aca="false">O19*'3_Giả định'!$C$17</f>
        <v>472853730.583729</v>
      </c>
      <c r="P20" s="75" t="n">
        <f aca="false">P19*'3_Giả định'!$C$17</f>
        <v>515741923.936154</v>
      </c>
      <c r="Q20" s="75" t="n">
        <f aca="false">Q19*'3_Giả định'!$C$17</f>
        <v>561302188.520914</v>
      </c>
      <c r="R20" s="75" t="n">
        <f aca="false">R19*'3_Giả định'!$C$17</f>
        <v>609862137.671975</v>
      </c>
      <c r="S20" s="75" t="n">
        <f aca="false">S19*'3_Giả định'!$C$17</f>
        <v>661758516.644712</v>
      </c>
      <c r="T20" s="75" t="n">
        <f aca="false">T19*'3_Giả định'!$C$17</f>
        <v>717340494.741421</v>
      </c>
      <c r="U20" s="75" t="n">
        <f aca="false">U19*'3_Giả định'!$C$17</f>
        <v>776972836.571098</v>
      </c>
      <c r="V20" s="75" t="n">
        <f aca="false">V19*'3_Giả định'!$C$17</f>
        <v>841039000.409594</v>
      </c>
      <c r="W20" s="75" t="n">
        <f aca="false">W19*'3_Giả định'!$C$17</f>
        <v>909944206.818248</v>
      </c>
      <c r="X20" s="75" t="n">
        <f aca="false">X19*'3_Giả định'!$C$17</f>
        <v>984118516.783212</v>
      </c>
      <c r="Y20" s="75" t="n">
        <f aca="false">Y19*'3_Giả định'!$C$17</f>
        <v>1064019955.53245</v>
      </c>
      <c r="Z20" s="75" t="n">
        <f aca="false">Z19*'3_Giả định'!$C$17</f>
        <v>1150137715.77064</v>
      </c>
    </row>
    <row r="21" customFormat="false" ht="15" hidden="false" customHeight="true" outlineLevel="0" collapsed="false">
      <c r="A21" s="45" t="s">
        <v>368</v>
      </c>
      <c r="C21" s="75" t="n">
        <f aca="false">C19*'3_Giả định'!$C$18</f>
        <v>4409897.952</v>
      </c>
      <c r="D21" s="75" t="n">
        <f aca="false">D19*'3_Giả định'!$C$18</f>
        <v>8511103.04736</v>
      </c>
      <c r="E21" s="75" t="n">
        <f aca="false">E19*'3_Giả định'!$C$18</f>
        <v>12378142.5614688</v>
      </c>
      <c r="F21" s="75" t="n">
        <f aca="false">F19*'3_Giả định'!$C$18</f>
        <v>16076622.5461583</v>
      </c>
      <c r="G21" s="75" t="n">
        <f aca="false">G19*'3_Giả định'!$C$18</f>
        <v>19664746.6426572</v>
      </c>
      <c r="H21" s="75" t="n">
        <f aca="false">H19*'3_Giả định'!$C$18</f>
        <v>23194621.522955</v>
      </c>
      <c r="I21" s="75" t="n">
        <f aca="false">I19*'3_Giả định'!$C$18</f>
        <v>26713382.1213439</v>
      </c>
      <c r="J21" s="75" t="n">
        <f aca="false">J19*'3_Giả định'!$C$18</f>
        <v>30264164.936121</v>
      </c>
      <c r="K21" s="75" t="n">
        <f aca="false">K19*'3_Giả định'!$C$18</f>
        <v>33886953.5393199</v>
      </c>
      <c r="L21" s="75" t="n">
        <f aca="false">L19*'3_Giả định'!$C$18</f>
        <v>37619316.9195283</v>
      </c>
      <c r="M21" s="75" t="n">
        <f aca="false">M19*'3_Giả định'!$C$18</f>
        <v>41497058.3055939</v>
      </c>
      <c r="N21" s="75" t="n">
        <f aca="false">N19*'3_Giả định'!$C$18</f>
        <v>45554789.5976693</v>
      </c>
      <c r="O21" s="75" t="n">
        <f aca="false">O19*'3_Giả định'!$C$18</f>
        <v>49826444.3989665</v>
      </c>
      <c r="P21" s="75" t="n">
        <f aca="false">P19*'3_Giả định'!$C$18</f>
        <v>54345740.839345</v>
      </c>
      <c r="Q21" s="75" t="n">
        <f aca="false">Q19*'3_Giả định'!$C$18</f>
        <v>59146603.8616845</v>
      </c>
      <c r="R21" s="75" t="n">
        <f aca="false">R19*'3_Giả định'!$C$18</f>
        <v>64263555.3625325</v>
      </c>
      <c r="S21" s="75" t="n">
        <f aca="false">S19*'3_Giả định'!$C$18</f>
        <v>69732079.5046613</v>
      </c>
      <c r="T21" s="75" t="n">
        <f aca="false">T19*'3_Giả định'!$C$18</f>
        <v>75588969.6211914</v>
      </c>
      <c r="U21" s="75" t="n">
        <f aca="false">U19*'3_Giả định'!$C$18</f>
        <v>81872662.3836204</v>
      </c>
      <c r="V21" s="75" t="n">
        <f aca="false">V19*'3_Giả định'!$C$18</f>
        <v>88623564.2881337</v>
      </c>
      <c r="W21" s="75" t="n">
        <f aca="false">W19*'3_Giả định'!$C$18</f>
        <v>95884375.0079345</v>
      </c>
      <c r="X21" s="75" t="n">
        <f aca="false">X19*'3_Giả định'!$C$18</f>
        <v>103700411.748807</v>
      </c>
      <c r="Y21" s="75" t="n">
        <f aca="false">Y19*'3_Giả định'!$C$18</f>
        <v>112119938.417913</v>
      </c>
      <c r="Z21" s="75" t="n">
        <f aca="false">Z19*'3_Giả định'!$C$18</f>
        <v>121194503.161168</v>
      </c>
    </row>
    <row r="22" customFormat="false" ht="15" hidden="false" customHeight="true" outlineLevel="0" collapsed="false">
      <c r="A22" s="45" t="s">
        <v>93</v>
      </c>
      <c r="C22" s="75" t="n">
        <f aca="false">C20-C21</f>
        <v>37440102.048</v>
      </c>
      <c r="D22" s="75" t="n">
        <f aca="false">D20-D21</f>
        <v>72259396.95264</v>
      </c>
      <c r="E22" s="75" t="n">
        <f aca="false">E20-E21</f>
        <v>105090622.438531</v>
      </c>
      <c r="F22" s="75" t="n">
        <f aca="false">F20-F21</f>
        <v>136490774.903842</v>
      </c>
      <c r="G22" s="75" t="n">
        <f aca="false">G20-G21</f>
        <v>166954004.165843</v>
      </c>
      <c r="H22" s="75" t="n">
        <f aca="false">H20-H21</f>
        <v>196922696.67835</v>
      </c>
      <c r="I22" s="75" t="n">
        <f aca="false">I20-I21</f>
        <v>226797028.764972</v>
      </c>
      <c r="J22" s="75" t="n">
        <f aca="false">J20-J21</f>
        <v>256943229.96567</v>
      </c>
      <c r="K22" s="75" t="n">
        <f aca="false">K20-K21</f>
        <v>287700761.427499</v>
      </c>
      <c r="L22" s="75" t="n">
        <f aca="false">L20-L21</f>
        <v>319388584.446589</v>
      </c>
      <c r="M22" s="75" t="n">
        <f aca="false">M20-M21</f>
        <v>352310668.991472</v>
      </c>
      <c r="N22" s="75" t="n">
        <f aca="false">N20-N21</f>
        <v>386760870.631572</v>
      </c>
      <c r="O22" s="75" t="n">
        <f aca="false">O20-O21</f>
        <v>423027286.184763</v>
      </c>
      <c r="P22" s="75" t="n">
        <f aca="false">P20-P21</f>
        <v>461396183.096809</v>
      </c>
      <c r="Q22" s="75" t="n">
        <f aca="false">Q20-Q21</f>
        <v>502155584.65923</v>
      </c>
      <c r="R22" s="75" t="n">
        <f aca="false">R20-R21</f>
        <v>545598582.309442</v>
      </c>
      <c r="S22" s="75" t="n">
        <f aca="false">S20-S21</f>
        <v>592026437.140051</v>
      </c>
      <c r="T22" s="75" t="n">
        <f aca="false">T20-T21</f>
        <v>641751525.12023</v>
      </c>
      <c r="U22" s="75" t="n">
        <f aca="false">U20-U21</f>
        <v>695100174.187477</v>
      </c>
      <c r="V22" s="75" t="n">
        <f aca="false">V20-V21</f>
        <v>752415436.12146</v>
      </c>
      <c r="W22" s="75" t="n">
        <f aca="false">W20-W21</f>
        <v>814059831.810314</v>
      </c>
      <c r="X22" s="75" t="n">
        <f aca="false">X20-X21</f>
        <v>880418105.034405</v>
      </c>
      <c r="Y22" s="75" t="n">
        <f aca="false">Y20-Y21</f>
        <v>951900017.114534</v>
      </c>
      <c r="Z22" s="75" t="n">
        <f aca="false">Z20-Z21</f>
        <v>1028943212.60947</v>
      </c>
    </row>
    <row r="23" customFormat="false" ht="15" hidden="false" customHeight="true" outlineLevel="0" collapsed="false">
      <c r="A23" s="45" t="s">
        <v>369</v>
      </c>
      <c r="C23" s="75" t="n">
        <f aca="false">C18*'3_Giả định'!$C$10</f>
        <v>210000000</v>
      </c>
      <c r="D23" s="75" t="n">
        <f aca="false">D18*'3_Giả định'!$C$10</f>
        <v>226800000</v>
      </c>
      <c r="E23" s="75" t="n">
        <f aca="false">E18*'3_Giả định'!$C$10</f>
        <v>244944000</v>
      </c>
      <c r="F23" s="75" t="n">
        <f aca="false">F18*'3_Giả định'!$C$10</f>
        <v>264539520</v>
      </c>
      <c r="G23" s="75" t="n">
        <f aca="false">G18*'3_Giả định'!$C$10</f>
        <v>285702681.6</v>
      </c>
      <c r="H23" s="75" t="n">
        <f aca="false">H18*'3_Giả định'!$C$10</f>
        <v>308558896.128</v>
      </c>
      <c r="I23" s="75" t="n">
        <f aca="false">I18*'3_Giả định'!$C$10</f>
        <v>333243607.81824</v>
      </c>
      <c r="J23" s="75" t="n">
        <f aca="false">J18*'3_Giả định'!$C$10</f>
        <v>359903096.443699</v>
      </c>
      <c r="K23" s="75" t="n">
        <f aca="false">K18*'3_Giả định'!$C$10</f>
        <v>388695344.159195</v>
      </c>
      <c r="L23" s="75" t="n">
        <f aca="false">L18*'3_Giả định'!$C$10</f>
        <v>419790971.691931</v>
      </c>
      <c r="M23" s="75" t="n">
        <f aca="false">M18*'3_Giả định'!$C$10</f>
        <v>453374249.427286</v>
      </c>
      <c r="N23" s="75" t="n">
        <f aca="false">N18*'3_Giả định'!$C$10</f>
        <v>489644189.381468</v>
      </c>
      <c r="O23" s="75" t="n">
        <f aca="false">O18*'3_Giả định'!$C$10</f>
        <v>528815724.531986</v>
      </c>
      <c r="P23" s="75" t="n">
        <f aca="false">P18*'3_Giả định'!$C$10</f>
        <v>571120982.494545</v>
      </c>
      <c r="Q23" s="75" t="n">
        <f aca="false">Q18*'3_Giả định'!$C$10</f>
        <v>616810661.094108</v>
      </c>
      <c r="R23" s="75" t="n">
        <f aca="false">R18*'3_Giả định'!$C$10</f>
        <v>666155513.981637</v>
      </c>
      <c r="S23" s="75" t="n">
        <f aca="false">S18*'3_Giả định'!$C$10</f>
        <v>719447955.100168</v>
      </c>
      <c r="T23" s="75" t="n">
        <f aca="false">T18*'3_Giả định'!$C$10</f>
        <v>777003791.508182</v>
      </c>
      <c r="U23" s="75" t="n">
        <f aca="false">U18*'3_Giả định'!$C$10</f>
        <v>839164094.828836</v>
      </c>
      <c r="V23" s="75" t="n">
        <f aca="false">V18*'3_Giả định'!$C$10</f>
        <v>906297222.415143</v>
      </c>
      <c r="W23" s="75" t="n">
        <f aca="false">W18*'3_Giả định'!$C$10</f>
        <v>978801000.208355</v>
      </c>
      <c r="X23" s="75" t="n">
        <f aca="false">X18*'3_Giả định'!$C$10</f>
        <v>1057105080.22502</v>
      </c>
      <c r="Y23" s="75" t="n">
        <f aca="false">Y18*'3_Giả định'!$C$10</f>
        <v>1141673486.64303</v>
      </c>
      <c r="Z23" s="75" t="n">
        <f aca="false">Z18*'3_Giả định'!$C$10</f>
        <v>1233007365.57447</v>
      </c>
    </row>
    <row r="24" customFormat="false" ht="15" hidden="false" customHeight="true" outlineLevel="0" collapsed="false">
      <c r="A24" s="45" t="s">
        <v>370</v>
      </c>
      <c r="C24" s="75" t="n">
        <f aca="false">'3_Giả định'!$C$11</f>
        <v>120000000</v>
      </c>
      <c r="D24" s="75" t="n">
        <f aca="false">'3_Giả định'!$C$11</f>
        <v>120000000</v>
      </c>
      <c r="E24" s="75" t="n">
        <f aca="false">'3_Giả định'!$C$11</f>
        <v>120000000</v>
      </c>
      <c r="F24" s="75" t="n">
        <f aca="false">'3_Giả định'!$C$11</f>
        <v>120000000</v>
      </c>
      <c r="G24" s="75" t="n">
        <f aca="false">'3_Giả định'!$C$11</f>
        <v>120000000</v>
      </c>
      <c r="H24" s="75" t="n">
        <f aca="false">'3_Giả định'!$C$11</f>
        <v>120000000</v>
      </c>
      <c r="I24" s="75" t="n">
        <f aca="false">'3_Giả định'!$C$11</f>
        <v>120000000</v>
      </c>
      <c r="J24" s="75" t="n">
        <f aca="false">'3_Giả định'!$C$11</f>
        <v>120000000</v>
      </c>
      <c r="K24" s="75" t="n">
        <f aca="false">'3_Giả định'!$C$11</f>
        <v>120000000</v>
      </c>
      <c r="L24" s="75" t="n">
        <f aca="false">'3_Giả định'!$C$11</f>
        <v>120000000</v>
      </c>
      <c r="M24" s="75" t="n">
        <f aca="false">'3_Giả định'!$C$11</f>
        <v>120000000</v>
      </c>
      <c r="N24" s="75" t="n">
        <f aca="false">'3_Giả định'!$C$11</f>
        <v>120000000</v>
      </c>
      <c r="O24" s="75" t="n">
        <f aca="false">'3_Giả định'!$C$11</f>
        <v>120000000</v>
      </c>
      <c r="P24" s="75" t="n">
        <f aca="false">'3_Giả định'!$C$11</f>
        <v>120000000</v>
      </c>
      <c r="Q24" s="75" t="n">
        <f aca="false">'3_Giả định'!$C$11</f>
        <v>120000000</v>
      </c>
      <c r="R24" s="75" t="n">
        <f aca="false">'3_Giả định'!$C$11</f>
        <v>120000000</v>
      </c>
      <c r="S24" s="75" t="n">
        <f aca="false">'3_Giả định'!$C$11</f>
        <v>120000000</v>
      </c>
      <c r="T24" s="75" t="n">
        <f aca="false">'3_Giả định'!$C$11</f>
        <v>120000000</v>
      </c>
      <c r="U24" s="75" t="n">
        <f aca="false">'3_Giả định'!$C$11</f>
        <v>120000000</v>
      </c>
      <c r="V24" s="75" t="n">
        <f aca="false">'3_Giả định'!$C$11</f>
        <v>120000000</v>
      </c>
      <c r="W24" s="75" t="n">
        <f aca="false">'3_Giả định'!$C$11</f>
        <v>120000000</v>
      </c>
      <c r="X24" s="75" t="n">
        <f aca="false">'3_Giả định'!$C$11</f>
        <v>120000000</v>
      </c>
      <c r="Y24" s="75" t="n">
        <f aca="false">'3_Giả định'!$C$11</f>
        <v>120000000</v>
      </c>
      <c r="Z24" s="75" t="n">
        <f aca="false">'3_Giả định'!$C$11</f>
        <v>120000000</v>
      </c>
    </row>
    <row r="25" customFormat="false" ht="15" hidden="false" customHeight="true" outlineLevel="0" collapsed="false">
      <c r="A25" s="45" t="s">
        <v>371</v>
      </c>
      <c r="B25" s="75" t="n">
        <f aca="false">-'3_Giả định'!$C$12</f>
        <v>-400000000</v>
      </c>
      <c r="C25" s="75" t="n">
        <f aca="false">C22-C23-C24</f>
        <v>-292559897.952</v>
      </c>
      <c r="D25" s="75" t="n">
        <f aca="false">D22-D23-D24</f>
        <v>-274540603.04736</v>
      </c>
      <c r="E25" s="75" t="n">
        <f aca="false">E22-E23-E24</f>
        <v>-259853377.561469</v>
      </c>
      <c r="F25" s="75" t="n">
        <f aca="false">F22-F23-F24</f>
        <v>-248048745.096158</v>
      </c>
      <c r="G25" s="75" t="n">
        <f aca="false">G22-G23-G24</f>
        <v>-238748677.434157</v>
      </c>
      <c r="H25" s="75" t="n">
        <f aca="false">H22-H23-H24</f>
        <v>-231636199.44965</v>
      </c>
      <c r="I25" s="75" t="n">
        <f aca="false">I22-I23-I24</f>
        <v>-226446579.053268</v>
      </c>
      <c r="J25" s="75" t="n">
        <f aca="false">J22-J23-J24</f>
        <v>-222959866.478029</v>
      </c>
      <c r="K25" s="75" t="n">
        <f aca="false">K22-K23-K24</f>
        <v>-220994582.731696</v>
      </c>
      <c r="L25" s="75" t="n">
        <f aca="false">L22-L23-L24</f>
        <v>-220402387.245342</v>
      </c>
      <c r="M25" s="75" t="n">
        <f aca="false">M22-M23-M24</f>
        <v>-221063580.435814</v>
      </c>
      <c r="N25" s="75" t="n">
        <f aca="false">N22-N23-N24</f>
        <v>-222883318.749896</v>
      </c>
      <c r="O25" s="75" t="n">
        <f aca="false">O22-O23-O24</f>
        <v>-225788438.347223</v>
      </c>
      <c r="P25" s="75" t="n">
        <f aca="false">P22-P23-P24</f>
        <v>-229724799.397735</v>
      </c>
      <c r="Q25" s="75" t="n">
        <f aca="false">Q22-Q23-Q24</f>
        <v>-234655076.434879</v>
      </c>
      <c r="R25" s="75" t="n">
        <f aca="false">R22-R23-R24</f>
        <v>-240556931.672195</v>
      </c>
      <c r="S25" s="75" t="n">
        <f aca="false">S22-S23-S24</f>
        <v>-247421517.960117</v>
      </c>
      <c r="T25" s="75" t="n">
        <f aca="false">T22-T23-T24</f>
        <v>-255252266.387952</v>
      </c>
      <c r="U25" s="75" t="n">
        <f aca="false">U22-U23-U24</f>
        <v>-264063920.641359</v>
      </c>
      <c r="V25" s="75" t="n">
        <f aca="false">V22-V23-V24</f>
        <v>-273881786.293683</v>
      </c>
      <c r="W25" s="75" t="n">
        <f aca="false">W22-W23-W24</f>
        <v>-284741168.398041</v>
      </c>
      <c r="X25" s="75" t="n">
        <f aca="false">X22-X23-X24</f>
        <v>-296686975.190618</v>
      </c>
      <c r="Y25" s="75" t="n">
        <f aca="false">Y22-Y23-Y24</f>
        <v>-309773469.528491</v>
      </c>
      <c r="Z25" s="75" t="n">
        <f aca="false">Z22-Z23-Z24</f>
        <v>-324064152.965</v>
      </c>
    </row>
    <row r="26" customFormat="false" ht="15" hidden="false" customHeight="true" outlineLevel="0" collapsed="false">
      <c r="A26" s="45" t="s">
        <v>372</v>
      </c>
      <c r="B26" s="75" t="n">
        <f aca="false">'3_Giả định'!$C$13+B25</f>
        <v>1100000000</v>
      </c>
      <c r="C26" s="75" t="n">
        <f aca="false">B26+C25</f>
        <v>807440102.048</v>
      </c>
      <c r="D26" s="75" t="n">
        <f aca="false">C26+D25</f>
        <v>532899499.00064</v>
      </c>
      <c r="E26" s="75" t="n">
        <f aca="false">D26+E25</f>
        <v>273046121.439171</v>
      </c>
      <c r="F26" s="75" t="n">
        <f aca="false">E26+F25</f>
        <v>24997376.3430128</v>
      </c>
      <c r="G26" s="75" t="n">
        <f aca="false">F26+G25</f>
        <v>-213751301.091144</v>
      </c>
      <c r="H26" s="75" t="n">
        <f aca="false">G26+H25</f>
        <v>-445387500.540795</v>
      </c>
      <c r="I26" s="75" t="n">
        <f aca="false">H26+I25</f>
        <v>-671834079.594063</v>
      </c>
      <c r="J26" s="75" t="n">
        <f aca="false">I26+J25</f>
        <v>-894793946.072092</v>
      </c>
      <c r="K26" s="75" t="n">
        <f aca="false">J26+K25</f>
        <v>-1115788528.80379</v>
      </c>
      <c r="L26" s="75" t="n">
        <f aca="false">K26+L25</f>
        <v>-1336190916.04913</v>
      </c>
      <c r="M26" s="75" t="n">
        <f aca="false">L26+M25</f>
        <v>-1557254496.48494</v>
      </c>
      <c r="N26" s="75" t="n">
        <f aca="false">M26+N25</f>
        <v>-1780137815.23484</v>
      </c>
      <c r="O26" s="75" t="n">
        <f aca="false">N26+O25</f>
        <v>-2005926253.58206</v>
      </c>
      <c r="P26" s="75" t="n">
        <f aca="false">O26+P25</f>
        <v>-2235651052.9798</v>
      </c>
      <c r="Q26" s="75" t="n">
        <f aca="false">P26+Q25</f>
        <v>-2470306129.41468</v>
      </c>
      <c r="R26" s="75" t="n">
        <f aca="false">Q26+R25</f>
        <v>-2710863061.08687</v>
      </c>
      <c r="S26" s="75" t="n">
        <f aca="false">R26+S25</f>
        <v>-2958284579.04699</v>
      </c>
      <c r="T26" s="75" t="n">
        <f aca="false">S26+T25</f>
        <v>-3213536845.43494</v>
      </c>
      <c r="U26" s="75" t="n">
        <f aca="false">T26+U25</f>
        <v>-3477600766.0763</v>
      </c>
      <c r="V26" s="75" t="n">
        <f aca="false">U26+V25</f>
        <v>-3751482552.36998</v>
      </c>
      <c r="W26" s="75" t="n">
        <f aca="false">V26+W25</f>
        <v>-4036223720.76802</v>
      </c>
      <c r="X26" s="75" t="n">
        <f aca="false">W26+X25</f>
        <v>-4332910695.95864</v>
      </c>
      <c r="Y26" s="75" t="n">
        <f aca="false">X26+Y25</f>
        <v>-4642684165.48713</v>
      </c>
      <c r="Z26" s="75" t="n">
        <f aca="false">Y26+Z25</f>
        <v>-4966748318.45213</v>
      </c>
    </row>
    <row r="27" customFormat="false" ht="15" hidden="false" customHeight="true" outlineLevel="0" collapsed="false">
      <c r="A27" s="45" t="s">
        <v>373</v>
      </c>
      <c r="B27" s="75" t="n">
        <f aca="false">B25</f>
        <v>-400000000</v>
      </c>
      <c r="C27" s="75" t="n">
        <f aca="false">B27+C25</f>
        <v>-692559897.952</v>
      </c>
      <c r="D27" s="75" t="n">
        <f aca="false">C27+D25</f>
        <v>-967100500.99936</v>
      </c>
      <c r="E27" s="75" t="n">
        <f aca="false">D27+E25</f>
        <v>-1226953878.56083</v>
      </c>
      <c r="F27" s="75" t="n">
        <f aca="false">E27+F25</f>
        <v>-1475002623.65699</v>
      </c>
      <c r="G27" s="75" t="n">
        <f aca="false">F27+G25</f>
        <v>-1713751301.09114</v>
      </c>
      <c r="H27" s="75" t="n">
        <f aca="false">G27+H25</f>
        <v>-1945387500.54079</v>
      </c>
      <c r="I27" s="75" t="n">
        <f aca="false">H27+I25</f>
        <v>-2171834079.59406</v>
      </c>
      <c r="J27" s="75" t="n">
        <f aca="false">I27+J25</f>
        <v>-2394793946.07209</v>
      </c>
      <c r="K27" s="75" t="n">
        <f aca="false">J27+K25</f>
        <v>-2615788528.80379</v>
      </c>
      <c r="L27" s="75" t="n">
        <f aca="false">K27+L25</f>
        <v>-2836190916.04913</v>
      </c>
      <c r="M27" s="75" t="n">
        <f aca="false">L27+M25</f>
        <v>-3057254496.48494</v>
      </c>
      <c r="N27" s="75" t="n">
        <f aca="false">M27+N25</f>
        <v>-3280137815.23484</v>
      </c>
      <c r="O27" s="75" t="n">
        <f aca="false">N27+O25</f>
        <v>-3505926253.58206</v>
      </c>
      <c r="P27" s="75" t="n">
        <f aca="false">O27+P25</f>
        <v>-3735651052.9798</v>
      </c>
      <c r="Q27" s="75" t="n">
        <f aca="false">P27+Q25</f>
        <v>-3970306129.41468</v>
      </c>
      <c r="R27" s="75" t="n">
        <f aca="false">Q27+R25</f>
        <v>-4210863061.08687</v>
      </c>
      <c r="S27" s="75" t="n">
        <f aca="false">R27+S25</f>
        <v>-4458284579.04699</v>
      </c>
      <c r="T27" s="75" t="n">
        <f aca="false">S27+T25</f>
        <v>-4713536845.43494</v>
      </c>
      <c r="U27" s="75" t="n">
        <f aca="false">T27+U25</f>
        <v>-4977600766.0763</v>
      </c>
      <c r="V27" s="75" t="n">
        <f aca="false">U27+V25</f>
        <v>-5251482552.36998</v>
      </c>
      <c r="W27" s="75" t="n">
        <f aca="false">V27+W25</f>
        <v>-5536223720.76802</v>
      </c>
      <c r="X27" s="75" t="n">
        <f aca="false">W27+X25</f>
        <v>-5832910695.95864</v>
      </c>
      <c r="Y27" s="75" t="n">
        <f aca="false">X27+Y25</f>
        <v>-6142684165.48713</v>
      </c>
      <c r="Z27" s="75" t="n">
        <f aca="false">Y27+Z25</f>
        <v>-6466748318.45213</v>
      </c>
    </row>
    <row r="29" customFormat="false" ht="15" hidden="false" customHeight="true" outlineLevel="0" collapsed="false">
      <c r="A29" s="73" t="s">
        <v>375</v>
      </c>
    </row>
    <row r="30" customFormat="false" ht="15" hidden="false" customHeight="true" outlineLevel="0" collapsed="false">
      <c r="A30" s="45" t="s">
        <v>366</v>
      </c>
      <c r="C30" s="74" t="n">
        <f aca="false">'3_Giả định'!$D$7*(1+'3_Giả định'!$D$8)^0</f>
        <v>150</v>
      </c>
      <c r="D30" s="74" t="n">
        <f aca="false">'3_Giả định'!$D$7*(1+'3_Giả định'!$D$8)^1</f>
        <v>154.8</v>
      </c>
      <c r="E30" s="74" t="n">
        <f aca="false">'3_Giả định'!$D$7*(1+'3_Giả định'!$D$8)^2</f>
        <v>159.7536</v>
      </c>
      <c r="F30" s="74" t="n">
        <f aca="false">'3_Giả định'!$D$7*(1+'3_Giả định'!$D$8)^3</f>
        <v>164.8657152</v>
      </c>
      <c r="G30" s="74" t="n">
        <f aca="false">'3_Giả định'!$D$7*(1+'3_Giả định'!$D$8)^4</f>
        <v>170.1414180864</v>
      </c>
      <c r="H30" s="74" t="n">
        <f aca="false">'3_Giả định'!$D$7*(1+'3_Giả định'!$D$8)^5</f>
        <v>175.585943465165</v>
      </c>
      <c r="I30" s="74" t="n">
        <f aca="false">'3_Giả định'!$D$7*(1+'3_Giả định'!$D$8)^6</f>
        <v>181.20469365605</v>
      </c>
      <c r="J30" s="74" t="n">
        <f aca="false">'3_Giả định'!$D$7*(1+'3_Giả định'!$D$8)^7</f>
        <v>187.003243853044</v>
      </c>
      <c r="K30" s="74" t="n">
        <f aca="false">'3_Giả định'!$D$7*(1+'3_Giả định'!$D$8)^8</f>
        <v>192.987347656341</v>
      </c>
      <c r="L30" s="74" t="n">
        <f aca="false">'3_Giả định'!$D$7*(1+'3_Giả định'!$D$8)^9</f>
        <v>199.162942781344</v>
      </c>
      <c r="M30" s="74" t="n">
        <f aca="false">'3_Giả định'!$D$7*(1+'3_Giả định'!$D$8)^10</f>
        <v>205.536156950347</v>
      </c>
      <c r="N30" s="74" t="n">
        <f aca="false">'3_Giả định'!$D$7*(1+'3_Giả định'!$D$8)^11</f>
        <v>212.113313972758</v>
      </c>
      <c r="O30" s="74" t="n">
        <f aca="false">'3_Giả định'!$D$7*(1+'3_Giả định'!$D$8)^12</f>
        <v>218.900940019886</v>
      </c>
      <c r="P30" s="74" t="n">
        <f aca="false">'3_Giả định'!$D$7*(1+'3_Giả định'!$D$8)^13</f>
        <v>225.905770100523</v>
      </c>
      <c r="Q30" s="74" t="n">
        <f aca="false">'3_Giả định'!$D$7*(1+'3_Giả định'!$D$8)^14</f>
        <v>233.13475474374</v>
      </c>
      <c r="R30" s="74" t="n">
        <f aca="false">'3_Giả định'!$D$7*(1+'3_Giả định'!$D$8)^15</f>
        <v>240.595066895539</v>
      </c>
      <c r="S30" s="74" t="n">
        <f aca="false">'3_Giả định'!$D$7*(1+'3_Giả định'!$D$8)^16</f>
        <v>248.294109036196</v>
      </c>
      <c r="T30" s="74" t="n">
        <f aca="false">'3_Giả định'!$D$7*(1+'3_Giả định'!$D$8)^17</f>
        <v>256.239520525355</v>
      </c>
      <c r="U30" s="74" t="n">
        <f aca="false">'3_Giả định'!$D$7*(1+'3_Giả định'!$D$8)^18</f>
        <v>264.439185182166</v>
      </c>
      <c r="V30" s="74" t="n">
        <f aca="false">'3_Giả định'!$D$7*(1+'3_Giả định'!$D$8)^19</f>
        <v>272.901239107995</v>
      </c>
      <c r="W30" s="74" t="n">
        <f aca="false">'3_Giả định'!$D$7*(1+'3_Giả định'!$D$8)^20</f>
        <v>281.634078759451</v>
      </c>
      <c r="X30" s="74" t="n">
        <f aca="false">'3_Giả định'!$D$7*(1+'3_Giả định'!$D$8)^21</f>
        <v>290.646369279754</v>
      </c>
      <c r="Y30" s="74" t="n">
        <f aca="false">'3_Giả định'!$D$7*(1+'3_Giả định'!$D$8)^22</f>
        <v>299.947053096706</v>
      </c>
      <c r="Z30" s="74" t="n">
        <f aca="false">'3_Giả định'!$D$7*(1+'3_Giả định'!$D$8)^23</f>
        <v>309.5453587958</v>
      </c>
    </row>
    <row r="31" customFormat="false" ht="15" hidden="false" customHeight="true" outlineLevel="0" collapsed="false">
      <c r="A31" s="45" t="s">
        <v>367</v>
      </c>
      <c r="B31" s="0" t="n">
        <v>0</v>
      </c>
      <c r="C31" s="74" t="n">
        <f aca="false">B31*(1-'3_Giả định'!$D$9)+C30</f>
        <v>150</v>
      </c>
      <c r="D31" s="74" t="n">
        <f aca="false">C31*(1-'3_Giả định'!$D$9)+D30</f>
        <v>268.8</v>
      </c>
      <c r="E31" s="74" t="n">
        <f aca="false">D31*(1-'3_Giả định'!$D$9)+E30</f>
        <v>364.0416</v>
      </c>
      <c r="F31" s="74" t="n">
        <f aca="false">E31*(1-'3_Giả định'!$D$9)+F30</f>
        <v>441.5373312</v>
      </c>
      <c r="G31" s="74" t="n">
        <f aca="false">F31*(1-'3_Giả định'!$D$9)+G30</f>
        <v>505.7097897984</v>
      </c>
      <c r="H31" s="74" t="n">
        <f aca="false">G31*(1-'3_Giả định'!$D$9)+H30</f>
        <v>559.925383711949</v>
      </c>
      <c r="I31" s="74" t="n">
        <f aca="false">H31*(1-'3_Giả định'!$D$9)+I30</f>
        <v>606.747985277131</v>
      </c>
      <c r="J31" s="74" t="n">
        <f aca="false">I31*(1-'3_Giả định'!$D$9)+J30</f>
        <v>648.131712663663</v>
      </c>
      <c r="K31" s="74" t="n">
        <f aca="false">J31*(1-'3_Giả định'!$D$9)+K30</f>
        <v>685.567449280725</v>
      </c>
      <c r="L31" s="74" t="n">
        <f aca="false">K31*(1-'3_Giả định'!$D$9)+L30</f>
        <v>720.194204234695</v>
      </c>
      <c r="M31" s="74" t="n">
        <f aca="false">L31*(1-'3_Giả định'!$D$9)+M30</f>
        <v>752.883752168715</v>
      </c>
      <c r="N31" s="74" t="n">
        <f aca="false">M31*(1-'3_Giả định'!$D$9)+N30</f>
        <v>784.304965620982</v>
      </c>
      <c r="O31" s="74" t="n">
        <f aca="false">N31*(1-'3_Giả định'!$D$9)+O30</f>
        <v>814.972713891833</v>
      </c>
      <c r="P31" s="74" t="n">
        <f aca="false">O31*(1-'3_Giả định'!$D$9)+P30</f>
        <v>845.285032658316</v>
      </c>
      <c r="Q31" s="74" t="n">
        <f aca="false">P31*(1-'3_Giả định'!$D$9)+Q30</f>
        <v>875.55137956406</v>
      </c>
      <c r="R31" s="74" t="n">
        <f aca="false">Q31*(1-'3_Giả định'!$D$9)+R30</f>
        <v>906.014115364224</v>
      </c>
      <c r="S31" s="74" t="n">
        <f aca="false">R31*(1-'3_Giả định'!$D$9)+S30</f>
        <v>936.864836713007</v>
      </c>
      <c r="T31" s="74" t="n">
        <f aca="false">S31*(1-'3_Giả định'!$D$9)+T30</f>
        <v>968.25679642724</v>
      </c>
      <c r="U31" s="74" t="n">
        <f aca="false">T31*(1-'3_Giả định'!$D$9)+U30</f>
        <v>1000.31435046687</v>
      </c>
      <c r="V31" s="74" t="n">
        <f aca="false">U31*(1-'3_Giả định'!$D$9)+V30</f>
        <v>1033.14014546282</v>
      </c>
      <c r="W31" s="74" t="n">
        <f aca="false">V31*(1-'3_Giả định'!$D$9)+W30</f>
        <v>1066.82058931119</v>
      </c>
      <c r="X31" s="74" t="n">
        <f aca="false">W31*(1-'3_Giả định'!$D$9)+X30</f>
        <v>1101.43001715626</v>
      </c>
      <c r="Y31" s="74" t="n">
        <f aca="false">X31*(1-'3_Giả định'!$D$9)+Y30</f>
        <v>1137.03386613546</v>
      </c>
      <c r="Z31" s="74" t="n">
        <f aca="false">Y31*(1-'3_Giả định'!$D$9)+Z30</f>
        <v>1173.69109705875</v>
      </c>
    </row>
    <row r="32" customFormat="false" ht="15" hidden="false" customHeight="true" outlineLevel="0" collapsed="false">
      <c r="A32" s="45" t="s">
        <v>91</v>
      </c>
      <c r="C32" s="75" t="n">
        <f aca="false">C31*'3_Giả định'!$D$17</f>
        <v>16740000</v>
      </c>
      <c r="D32" s="75" t="n">
        <f aca="false">D31*'3_Giả định'!$D$17</f>
        <v>29998080</v>
      </c>
      <c r="E32" s="75" t="n">
        <f aca="false">E31*'3_Giả định'!$D$17</f>
        <v>40627042.56</v>
      </c>
      <c r="F32" s="75" t="n">
        <f aca="false">F31*'3_Giả định'!$D$17</f>
        <v>49275566.16192</v>
      </c>
      <c r="G32" s="75" t="n">
        <f aca="false">G31*'3_Giả định'!$D$17</f>
        <v>56437212.5415015</v>
      </c>
      <c r="H32" s="75" t="n">
        <f aca="false">H31*'3_Giả định'!$D$17</f>
        <v>62487672.8222535</v>
      </c>
      <c r="I32" s="75" t="n">
        <f aca="false">I31*'3_Giả định'!$D$17</f>
        <v>67713075.1569278</v>
      </c>
      <c r="J32" s="75" t="n">
        <f aca="false">J31*'3_Giả định'!$D$17</f>
        <v>72331499.1332648</v>
      </c>
      <c r="K32" s="75" t="n">
        <f aca="false">K31*'3_Giả định'!$D$17</f>
        <v>76509327.339729</v>
      </c>
      <c r="L32" s="75" t="n">
        <f aca="false">L31*'3_Giả định'!$D$17</f>
        <v>80373673.192592</v>
      </c>
      <c r="M32" s="75" t="n">
        <f aca="false">M31*'3_Giả định'!$D$17</f>
        <v>84021826.7420286</v>
      </c>
      <c r="N32" s="75" t="n">
        <f aca="false">N31*'3_Giả định'!$D$17</f>
        <v>87528434.1633016</v>
      </c>
      <c r="O32" s="75" t="n">
        <f aca="false">O31*'3_Giả định'!$D$17</f>
        <v>90950954.8703285</v>
      </c>
      <c r="P32" s="75" t="n">
        <f aca="false">P31*'3_Giả định'!$D$17</f>
        <v>94333809.644668</v>
      </c>
      <c r="Q32" s="75" t="n">
        <f aca="false">Q31*'3_Giả định'!$D$17</f>
        <v>97711533.959349</v>
      </c>
      <c r="R32" s="75" t="n">
        <f aca="false">R31*'3_Giả định'!$D$17</f>
        <v>101111175.274647</v>
      </c>
      <c r="S32" s="75" t="n">
        <f aca="false">S31*'3_Giả định'!$D$17</f>
        <v>104554115.777172</v>
      </c>
      <c r="T32" s="75" t="n">
        <f aca="false">T31*'3_Giả định'!$D$17</f>
        <v>108057458.48128</v>
      </c>
      <c r="U32" s="75" t="n">
        <f aca="false">U31*'3_Giả định'!$D$17</f>
        <v>111635081.512103</v>
      </c>
      <c r="V32" s="75" t="n">
        <f aca="false">V31*'3_Giả định'!$D$17</f>
        <v>115298440.23365</v>
      </c>
      <c r="W32" s="75" t="n">
        <f aca="false">W31*'3_Giả định'!$D$17</f>
        <v>119057177.767129</v>
      </c>
      <c r="X32" s="75" t="n">
        <f aca="false">X31*'3_Giả định'!$D$17</f>
        <v>122919589.914639</v>
      </c>
      <c r="Y32" s="75" t="n">
        <f aca="false">Y31*'3_Giả định'!$D$17</f>
        <v>126892979.460718</v>
      </c>
      <c r="Z32" s="75" t="n">
        <f aca="false">Z31*'3_Giả định'!$D$17</f>
        <v>130983926.431757</v>
      </c>
    </row>
    <row r="33" customFormat="false" ht="15" hidden="false" customHeight="true" outlineLevel="0" collapsed="false">
      <c r="A33" s="45" t="s">
        <v>368</v>
      </c>
      <c r="C33" s="75" t="n">
        <f aca="false">C31*'3_Giả định'!$D$18</f>
        <v>2645938.7712</v>
      </c>
      <c r="D33" s="75" t="n">
        <f aca="false">D31*'3_Giả định'!$D$18</f>
        <v>4741522.2779904</v>
      </c>
      <c r="E33" s="75" t="n">
        <f aca="false">E31*'3_Giả định'!$D$18</f>
        <v>6421545.22513121</v>
      </c>
      <c r="F33" s="75" t="n">
        <f aca="false">F31*'3_Giả định'!$D$18</f>
        <v>7788538.2903617</v>
      </c>
      <c r="G33" s="75" t="n">
        <f aca="false">G31*'3_Giả định'!$D$18</f>
        <v>8920514.26535326</v>
      </c>
      <c r="H33" s="75" t="n">
        <f aca="false">H31*'3_Giả định'!$D$18</f>
        <v>9876855.21161655</v>
      </c>
      <c r="I33" s="75" t="n">
        <f aca="false">I31*'3_Giả định'!$D$18</f>
        <v>10702786.790615</v>
      </c>
      <c r="J33" s="75" t="n">
        <f aca="false">J31*'3_Giả định'!$D$18</f>
        <v>11432778.849207</v>
      </c>
      <c r="K33" s="75" t="n">
        <f aca="false">K31*'3_Giả định'!$D$18</f>
        <v>12093129.9621637</v>
      </c>
      <c r="L33" s="75" t="n">
        <f aca="false">L31*'3_Giả định'!$D$18</f>
        <v>12703931.7851874</v>
      </c>
      <c r="M33" s="75" t="n">
        <f aca="false">M31*'3_Giả định'!$D$18</f>
        <v>13280562.0671316</v>
      </c>
      <c r="N33" s="75" t="n">
        <f aca="false">N31*'3_Giả định'!$D$18</f>
        <v>13834819.4465416</v>
      </c>
      <c r="O33" s="75" t="n">
        <f aca="false">O31*'3_Giả định'!$D$18</f>
        <v>14375786.0077099</v>
      </c>
      <c r="P33" s="75" t="n">
        <f aca="false">P31*'3_Giả định'!$D$18</f>
        <v>14910482.9375046</v>
      </c>
      <c r="Q33" s="75" t="n">
        <f aca="false">Q31*'3_Giả định'!$D$18</f>
        <v>15444368.9424413</v>
      </c>
      <c r="R33" s="75" t="n">
        <f aca="false">R31*'3_Giả định'!$D$18</f>
        <v>15981719.1673111</v>
      </c>
      <c r="S33" s="75" t="n">
        <f aca="false">S31*'3_Giả định'!$D$18</f>
        <v>16525913.298886</v>
      </c>
      <c r="T33" s="75" t="n">
        <f aca="false">T31*'3_Giả định'!$D$18</f>
        <v>17079654.6542983</v>
      </c>
      <c r="U33" s="75" t="n">
        <f aca="false">U31*'3_Giả định'!$D$18</f>
        <v>17645136.8219202</v>
      </c>
      <c r="V33" s="75" t="n">
        <f aca="false">V31*'3_Giả định'!$D$18</f>
        <v>18224170.4464218</v>
      </c>
      <c r="W33" s="75" t="n">
        <f aca="false">W31*'3_Giả định'!$D$18</f>
        <v>18818279.7278194</v>
      </c>
      <c r="X33" s="75" t="n">
        <f aca="false">X31*'3_Giả định'!$D$18</f>
        <v>19428775.9077148</v>
      </c>
      <c r="Y33" s="75" t="n">
        <f aca="false">Y31*'3_Giả định'!$D$18</f>
        <v>20056813.2705017</v>
      </c>
      <c r="Z33" s="75" t="n">
        <f aca="false">Z31*'3_Giả định'!$D$18</f>
        <v>20703431.8608001</v>
      </c>
    </row>
    <row r="34" customFormat="false" ht="15" hidden="false" customHeight="true" outlineLevel="0" collapsed="false">
      <c r="A34" s="45" t="s">
        <v>93</v>
      </c>
      <c r="C34" s="75" t="n">
        <f aca="false">C32-C33</f>
        <v>14094061.2288</v>
      </c>
      <c r="D34" s="75" t="n">
        <f aca="false">D32-D33</f>
        <v>25256557.7220096</v>
      </c>
      <c r="E34" s="75" t="n">
        <f aca="false">E32-E33</f>
        <v>34205497.3348688</v>
      </c>
      <c r="F34" s="75" t="n">
        <f aca="false">F32-F33</f>
        <v>41487027.8715583</v>
      </c>
      <c r="G34" s="75" t="n">
        <f aca="false">G32-G33</f>
        <v>47516698.2761482</v>
      </c>
      <c r="H34" s="75" t="n">
        <f aca="false">H32-H33</f>
        <v>52610817.6106369</v>
      </c>
      <c r="I34" s="75" t="n">
        <f aca="false">I32-I33</f>
        <v>57010288.3663128</v>
      </c>
      <c r="J34" s="75" t="n">
        <f aca="false">J32-J33</f>
        <v>60898720.2840579</v>
      </c>
      <c r="K34" s="75" t="n">
        <f aca="false">K32-K33</f>
        <v>64416197.3775652</v>
      </c>
      <c r="L34" s="75" t="n">
        <f aca="false">L32-L33</f>
        <v>67669741.4074046</v>
      </c>
      <c r="M34" s="75" t="n">
        <f aca="false">M32-M33</f>
        <v>70741264.6748971</v>
      </c>
      <c r="N34" s="75" t="n">
        <f aca="false">N32-N33</f>
        <v>73693614.71676</v>
      </c>
      <c r="O34" s="75" t="n">
        <f aca="false">O32-O33</f>
        <v>76575168.8626186</v>
      </c>
      <c r="P34" s="75" t="n">
        <f aca="false">P32-P33</f>
        <v>79423326.7071634</v>
      </c>
      <c r="Q34" s="75" t="n">
        <f aca="false">Q32-Q33</f>
        <v>82267165.0169078</v>
      </c>
      <c r="R34" s="75" t="n">
        <f aca="false">R32-R33</f>
        <v>85129456.1073363</v>
      </c>
      <c r="S34" s="75" t="n">
        <f aca="false">S32-S33</f>
        <v>88028202.4782856</v>
      </c>
      <c r="T34" s="75" t="n">
        <f aca="false">T32-T33</f>
        <v>90977803.8269817</v>
      </c>
      <c r="U34" s="75" t="n">
        <f aca="false">U32-U33</f>
        <v>93989944.6901823</v>
      </c>
      <c r="V34" s="75" t="n">
        <f aca="false">V32-V33</f>
        <v>97074269.7872284</v>
      </c>
      <c r="W34" s="75" t="n">
        <f aca="false">W32-W33</f>
        <v>100238898.03931</v>
      </c>
      <c r="X34" s="75" t="n">
        <f aca="false">X32-X33</f>
        <v>103490814.006924</v>
      </c>
      <c r="Y34" s="75" t="n">
        <f aca="false">Y32-Y33</f>
        <v>106836166.190216</v>
      </c>
      <c r="Z34" s="75" t="n">
        <f aca="false">Z32-Z33</f>
        <v>110280494.570957</v>
      </c>
    </row>
    <row r="35" customFormat="false" ht="15" hidden="false" customHeight="true" outlineLevel="0" collapsed="false">
      <c r="A35" s="45" t="s">
        <v>369</v>
      </c>
      <c r="C35" s="75" t="n">
        <f aca="false">C30*'3_Giả định'!$D$10</f>
        <v>157500000</v>
      </c>
      <c r="D35" s="75" t="n">
        <f aca="false">D30*'3_Giả định'!$D$10</f>
        <v>162540000</v>
      </c>
      <c r="E35" s="75" t="n">
        <f aca="false">E30*'3_Giả định'!$D$10</f>
        <v>167741280</v>
      </c>
      <c r="F35" s="75" t="n">
        <f aca="false">F30*'3_Giả định'!$D$10</f>
        <v>173109000.96</v>
      </c>
      <c r="G35" s="75" t="n">
        <f aca="false">G30*'3_Giả định'!$D$10</f>
        <v>178648488.99072</v>
      </c>
      <c r="H35" s="75" t="n">
        <f aca="false">H30*'3_Giả định'!$D$10</f>
        <v>184365240.638423</v>
      </c>
      <c r="I35" s="75" t="n">
        <f aca="false">I30*'3_Giả định'!$D$10</f>
        <v>190264928.338853</v>
      </c>
      <c r="J35" s="75" t="n">
        <f aca="false">J30*'3_Giả định'!$D$10</f>
        <v>196353406.045696</v>
      </c>
      <c r="K35" s="75" t="n">
        <f aca="false">K30*'3_Giả định'!$D$10</f>
        <v>202636715.039158</v>
      </c>
      <c r="L35" s="75" t="n">
        <f aca="false">L30*'3_Giả định'!$D$10</f>
        <v>209121089.920411</v>
      </c>
      <c r="M35" s="75" t="n">
        <f aca="false">M30*'3_Giả định'!$D$10</f>
        <v>215812964.797864</v>
      </c>
      <c r="N35" s="75" t="n">
        <f aca="false">N30*'3_Giả định'!$D$10</f>
        <v>222718979.671396</v>
      </c>
      <c r="O35" s="75" t="n">
        <f aca="false">O30*'3_Giả định'!$D$10</f>
        <v>229845987.020881</v>
      </c>
      <c r="P35" s="75" t="n">
        <f aca="false">P30*'3_Giả định'!$D$10</f>
        <v>237201058.605549</v>
      </c>
      <c r="Q35" s="75" t="n">
        <f aca="false">Q30*'3_Giả định'!$D$10</f>
        <v>244791492.480926</v>
      </c>
      <c r="R35" s="75" t="n">
        <f aca="false">R30*'3_Giả định'!$D$10</f>
        <v>252624820.240316</v>
      </c>
      <c r="S35" s="75" t="n">
        <f aca="false">S30*'3_Giả định'!$D$10</f>
        <v>260708814.488006</v>
      </c>
      <c r="T35" s="75" t="n">
        <f aca="false">T30*'3_Giả định'!$D$10</f>
        <v>269051496.551622</v>
      </c>
      <c r="U35" s="75" t="n">
        <f aca="false">U30*'3_Giả định'!$D$10</f>
        <v>277661144.441274</v>
      </c>
      <c r="V35" s="75" t="n">
        <f aca="false">V30*'3_Giả định'!$D$10</f>
        <v>286546301.063395</v>
      </c>
      <c r="W35" s="75" t="n">
        <f aca="false">W30*'3_Giả định'!$D$10</f>
        <v>295715782.697424</v>
      </c>
      <c r="X35" s="75" t="n">
        <f aca="false">X30*'3_Giả định'!$D$10</f>
        <v>305178687.743741</v>
      </c>
      <c r="Y35" s="75" t="n">
        <f aca="false">Y30*'3_Giả định'!$D$10</f>
        <v>314944405.751541</v>
      </c>
      <c r="Z35" s="75" t="n">
        <f aca="false">Z30*'3_Giả định'!$D$10</f>
        <v>325022626.73559</v>
      </c>
    </row>
    <row r="36" customFormat="false" ht="15" hidden="false" customHeight="true" outlineLevel="0" collapsed="false">
      <c r="A36" s="45" t="s">
        <v>370</v>
      </c>
      <c r="C36" s="75" t="n">
        <f aca="false">'3_Giả định'!$D$11</f>
        <v>120000000</v>
      </c>
      <c r="D36" s="75" t="n">
        <f aca="false">'3_Giả định'!$D$11</f>
        <v>120000000</v>
      </c>
      <c r="E36" s="75" t="n">
        <f aca="false">'3_Giả định'!$D$11</f>
        <v>120000000</v>
      </c>
      <c r="F36" s="75" t="n">
        <f aca="false">'3_Giả định'!$D$11</f>
        <v>120000000</v>
      </c>
      <c r="G36" s="75" t="n">
        <f aca="false">'3_Giả định'!$D$11</f>
        <v>120000000</v>
      </c>
      <c r="H36" s="75" t="n">
        <f aca="false">'3_Giả định'!$D$11</f>
        <v>120000000</v>
      </c>
      <c r="I36" s="75" t="n">
        <f aca="false">'3_Giả định'!$D$11</f>
        <v>120000000</v>
      </c>
      <c r="J36" s="75" t="n">
        <f aca="false">'3_Giả định'!$D$11</f>
        <v>120000000</v>
      </c>
      <c r="K36" s="75" t="n">
        <f aca="false">'3_Giả định'!$D$11</f>
        <v>120000000</v>
      </c>
      <c r="L36" s="75" t="n">
        <f aca="false">'3_Giả định'!$D$11</f>
        <v>120000000</v>
      </c>
      <c r="M36" s="75" t="n">
        <f aca="false">'3_Giả định'!$D$11</f>
        <v>120000000</v>
      </c>
      <c r="N36" s="75" t="n">
        <f aca="false">'3_Giả định'!$D$11</f>
        <v>120000000</v>
      </c>
      <c r="O36" s="75" t="n">
        <f aca="false">'3_Giả định'!$D$11</f>
        <v>120000000</v>
      </c>
      <c r="P36" s="75" t="n">
        <f aca="false">'3_Giả định'!$D$11</f>
        <v>120000000</v>
      </c>
      <c r="Q36" s="75" t="n">
        <f aca="false">'3_Giả định'!$D$11</f>
        <v>120000000</v>
      </c>
      <c r="R36" s="75" t="n">
        <f aca="false">'3_Giả định'!$D$11</f>
        <v>120000000</v>
      </c>
      <c r="S36" s="75" t="n">
        <f aca="false">'3_Giả định'!$D$11</f>
        <v>120000000</v>
      </c>
      <c r="T36" s="75" t="n">
        <f aca="false">'3_Giả định'!$D$11</f>
        <v>120000000</v>
      </c>
      <c r="U36" s="75" t="n">
        <f aca="false">'3_Giả định'!$D$11</f>
        <v>120000000</v>
      </c>
      <c r="V36" s="75" t="n">
        <f aca="false">'3_Giả định'!$D$11</f>
        <v>120000000</v>
      </c>
      <c r="W36" s="75" t="n">
        <f aca="false">'3_Giả định'!$D$11</f>
        <v>120000000</v>
      </c>
      <c r="X36" s="75" t="n">
        <f aca="false">'3_Giả định'!$D$11</f>
        <v>120000000</v>
      </c>
      <c r="Y36" s="75" t="n">
        <f aca="false">'3_Giả định'!$D$11</f>
        <v>120000000</v>
      </c>
      <c r="Z36" s="75" t="n">
        <f aca="false">'3_Giả định'!$D$11</f>
        <v>120000000</v>
      </c>
    </row>
    <row r="37" customFormat="false" ht="15" hidden="false" customHeight="true" outlineLevel="0" collapsed="false">
      <c r="A37" s="45" t="s">
        <v>371</v>
      </c>
      <c r="B37" s="75" t="n">
        <f aca="false">-'3_Giả định'!$D$12</f>
        <v>-400000000</v>
      </c>
      <c r="C37" s="75" t="n">
        <f aca="false">C34-C35-C36</f>
        <v>-263405938.7712</v>
      </c>
      <c r="D37" s="75" t="n">
        <f aca="false">D34-D35-D36</f>
        <v>-257283442.27799</v>
      </c>
      <c r="E37" s="75" t="n">
        <f aca="false">E34-E35-E36</f>
        <v>-253535782.665131</v>
      </c>
      <c r="F37" s="75" t="n">
        <f aca="false">F34-F35-F36</f>
        <v>-251621973.088442</v>
      </c>
      <c r="G37" s="75" t="n">
        <f aca="false">G34-G35-G36</f>
        <v>-251131790.714572</v>
      </c>
      <c r="H37" s="75" t="n">
        <f aca="false">H34-H35-H36</f>
        <v>-251754423.027786</v>
      </c>
      <c r="I37" s="75" t="n">
        <f aca="false">I34-I35-I36</f>
        <v>-253254639.97254</v>
      </c>
      <c r="J37" s="75" t="n">
        <f aca="false">J34-J35-J36</f>
        <v>-255454685.761638</v>
      </c>
      <c r="K37" s="75" t="n">
        <f aca="false">K34-K35-K36</f>
        <v>-258220517.661593</v>
      </c>
      <c r="L37" s="75" t="n">
        <f aca="false">L34-L35-L36</f>
        <v>-261451348.513007</v>
      </c>
      <c r="M37" s="75" t="n">
        <f aca="false">M34-M35-M36</f>
        <v>-265071700.122967</v>
      </c>
      <c r="N37" s="75" t="n">
        <f aca="false">N34-N35-N36</f>
        <v>-269025364.954636</v>
      </c>
      <c r="O37" s="75" t="n">
        <f aca="false">O34-O35-O36</f>
        <v>-273270818.158262</v>
      </c>
      <c r="P37" s="75" t="n">
        <f aca="false">P34-P35-P36</f>
        <v>-277777731.898386</v>
      </c>
      <c r="Q37" s="75" t="n">
        <f aca="false">Q34-Q35-Q36</f>
        <v>-282524327.464019</v>
      </c>
      <c r="R37" s="75" t="n">
        <f aca="false">R34-R35-R36</f>
        <v>-287495364.13298</v>
      </c>
      <c r="S37" s="75" t="n">
        <f aca="false">S34-S35-S36</f>
        <v>-292680612.009721</v>
      </c>
      <c r="T37" s="75" t="n">
        <f aca="false">T34-T35-T36</f>
        <v>-298073692.724641</v>
      </c>
      <c r="U37" s="75" t="n">
        <f aca="false">U34-U35-U36</f>
        <v>-303671199.751092</v>
      </c>
      <c r="V37" s="75" t="n">
        <f aca="false">V34-V35-V36</f>
        <v>-309472031.276167</v>
      </c>
      <c r="W37" s="75" t="n">
        <f aca="false">W34-W35-W36</f>
        <v>-315476884.658114</v>
      </c>
      <c r="X37" s="75" t="n">
        <f aca="false">X34-X35-X36</f>
        <v>-321687873.736818</v>
      </c>
      <c r="Y37" s="75" t="n">
        <f aca="false">Y34-Y35-Y36</f>
        <v>-328108239.561325</v>
      </c>
      <c r="Z37" s="75" t="n">
        <f aca="false">Z34-Z35-Z36</f>
        <v>-334742132.164634</v>
      </c>
    </row>
    <row r="38" customFormat="false" ht="15" hidden="false" customHeight="true" outlineLevel="0" collapsed="false">
      <c r="A38" s="45" t="s">
        <v>372</v>
      </c>
      <c r="B38" s="75" t="n">
        <f aca="false">'3_Giả định'!$D$13+B37</f>
        <v>1100000000</v>
      </c>
      <c r="C38" s="75" t="n">
        <f aca="false">B38+C37</f>
        <v>836594061.2288</v>
      </c>
      <c r="D38" s="75" t="n">
        <f aca="false">C38+D37</f>
        <v>579310618.95081</v>
      </c>
      <c r="E38" s="75" t="n">
        <f aca="false">D38+E37</f>
        <v>325774836.285678</v>
      </c>
      <c r="F38" s="75" t="n">
        <f aca="false">E38+F37</f>
        <v>74152863.1972368</v>
      </c>
      <c r="G38" s="75" t="n">
        <f aca="false">F38+G37</f>
        <v>-176978927.517335</v>
      </c>
      <c r="H38" s="75" t="n">
        <f aca="false">G38+H37</f>
        <v>-428733350.545121</v>
      </c>
      <c r="I38" s="75" t="n">
        <f aca="false">H38+I37</f>
        <v>-681987990.517661</v>
      </c>
      <c r="J38" s="75" t="n">
        <f aca="false">I38+J37</f>
        <v>-937442676.279299</v>
      </c>
      <c r="K38" s="75" t="n">
        <f aca="false">J38+K37</f>
        <v>-1195663193.94089</v>
      </c>
      <c r="L38" s="75" t="n">
        <f aca="false">K38+L37</f>
        <v>-1457114542.4539</v>
      </c>
      <c r="M38" s="75" t="n">
        <f aca="false">L38+M37</f>
        <v>-1722186242.57687</v>
      </c>
      <c r="N38" s="75" t="n">
        <f aca="false">M38+N37</f>
        <v>-1991211607.5315</v>
      </c>
      <c r="O38" s="75" t="n">
        <f aca="false">N38+O37</f>
        <v>-2264482425.68976</v>
      </c>
      <c r="P38" s="75" t="n">
        <f aca="false">O38+P37</f>
        <v>-2542260157.58815</v>
      </c>
      <c r="Q38" s="75" t="n">
        <f aca="false">P38+Q37</f>
        <v>-2824784485.05217</v>
      </c>
      <c r="R38" s="75" t="n">
        <f aca="false">Q38+R37</f>
        <v>-3112279849.18515</v>
      </c>
      <c r="S38" s="75" t="n">
        <f aca="false">R38+S37</f>
        <v>-3404960461.19487</v>
      </c>
      <c r="T38" s="75" t="n">
        <f aca="false">S38+T37</f>
        <v>-3703034153.91951</v>
      </c>
      <c r="U38" s="75" t="n">
        <f aca="false">T38+U37</f>
        <v>-4006705353.6706</v>
      </c>
      <c r="V38" s="75" t="n">
        <f aca="false">U38+V37</f>
        <v>-4316177384.94677</v>
      </c>
      <c r="W38" s="75" t="n">
        <f aca="false">V38+W37</f>
        <v>-4631654269.60488</v>
      </c>
      <c r="X38" s="75" t="n">
        <f aca="false">W38+X37</f>
        <v>-4953342143.3417</v>
      </c>
      <c r="Y38" s="75" t="n">
        <f aca="false">X38+Y37</f>
        <v>-5281450382.90303</v>
      </c>
      <c r="Z38" s="75" t="n">
        <f aca="false">Y38+Z37</f>
        <v>-5616192515.06766</v>
      </c>
    </row>
    <row r="39" customFormat="false" ht="15" hidden="false" customHeight="true" outlineLevel="0" collapsed="false">
      <c r="A39" s="45" t="s">
        <v>373</v>
      </c>
      <c r="B39" s="75" t="n">
        <f aca="false">B37</f>
        <v>-400000000</v>
      </c>
      <c r="C39" s="75" t="n">
        <f aca="false">B39+C37</f>
        <v>-663405938.7712</v>
      </c>
      <c r="D39" s="75" t="n">
        <f aca="false">C39+D37</f>
        <v>-920689381.04919</v>
      </c>
      <c r="E39" s="75" t="n">
        <f aca="false">D39+E37</f>
        <v>-1174225163.71432</v>
      </c>
      <c r="F39" s="75" t="n">
        <f aca="false">E39+F37</f>
        <v>-1425847136.80276</v>
      </c>
      <c r="G39" s="75" t="n">
        <f aca="false">F39+G37</f>
        <v>-1676978927.51734</v>
      </c>
      <c r="H39" s="75" t="n">
        <f aca="false">G39+H37</f>
        <v>-1928733350.54512</v>
      </c>
      <c r="I39" s="75" t="n">
        <f aca="false">H39+I37</f>
        <v>-2181987990.51766</v>
      </c>
      <c r="J39" s="75" t="n">
        <f aca="false">I39+J37</f>
        <v>-2437442676.2793</v>
      </c>
      <c r="K39" s="75" t="n">
        <f aca="false">J39+K37</f>
        <v>-2695663193.94089</v>
      </c>
      <c r="L39" s="75" t="n">
        <f aca="false">K39+L37</f>
        <v>-2957114542.4539</v>
      </c>
      <c r="M39" s="75" t="n">
        <f aca="false">L39+M37</f>
        <v>-3222186242.57687</v>
      </c>
      <c r="N39" s="75" t="n">
        <f aca="false">M39+N37</f>
        <v>-3491211607.5315</v>
      </c>
      <c r="O39" s="75" t="n">
        <f aca="false">N39+O37</f>
        <v>-3764482425.68976</v>
      </c>
      <c r="P39" s="75" t="n">
        <f aca="false">O39+P37</f>
        <v>-4042260157.58815</v>
      </c>
      <c r="Q39" s="75" t="n">
        <f aca="false">P39+Q37</f>
        <v>-4324784485.05217</v>
      </c>
      <c r="R39" s="75" t="n">
        <f aca="false">Q39+R37</f>
        <v>-4612279849.18515</v>
      </c>
      <c r="S39" s="75" t="n">
        <f aca="false">R39+S37</f>
        <v>-4904960461.19487</v>
      </c>
      <c r="T39" s="75" t="n">
        <f aca="false">S39+T37</f>
        <v>-5203034153.91951</v>
      </c>
      <c r="U39" s="75" t="n">
        <f aca="false">T39+U37</f>
        <v>-5506705353.6706</v>
      </c>
      <c r="V39" s="75" t="n">
        <f aca="false">U39+V37</f>
        <v>-5816177384.94677</v>
      </c>
      <c r="W39" s="75" t="n">
        <f aca="false">V39+W37</f>
        <v>-6131654269.60488</v>
      </c>
      <c r="X39" s="75" t="n">
        <f aca="false">W39+X37</f>
        <v>-6453342143.3417</v>
      </c>
      <c r="Y39" s="75" t="n">
        <f aca="false">X39+Y37</f>
        <v>-6781450382.90303</v>
      </c>
      <c r="Z39" s="75" t="n">
        <f aca="false">Y39+Z37</f>
        <v>-7116192515.06766</v>
      </c>
    </row>
    <row r="42" customFormat="false" ht="15" hidden="false" customHeight="true" outlineLevel="0" collapsed="false">
      <c r="A42" s="76" t="s">
        <v>376</v>
      </c>
    </row>
    <row r="43" customFormat="false" ht="26.25" hidden="false" customHeight="true" outlineLevel="0" collapsed="false">
      <c r="A43" s="14" t="s">
        <v>325</v>
      </c>
      <c r="B43" s="14" t="s">
        <v>287</v>
      </c>
      <c r="C43" s="14" t="s">
        <v>288</v>
      </c>
      <c r="D43" s="14" t="s">
        <v>289</v>
      </c>
      <c r="E43" s="14" t="s">
        <v>326</v>
      </c>
    </row>
    <row r="44" customFormat="false" ht="31.5" hidden="false" customHeight="true" outlineLevel="0" collapsed="false">
      <c r="A44" s="10" t="s">
        <v>377</v>
      </c>
      <c r="B44" s="46" t="n">
        <f aca="false">B13+NPV('3_Giả định'!$B$14/12,C13:Z13)</f>
        <v>1981126390.50024</v>
      </c>
      <c r="C44" s="46" t="n">
        <f aca="false">B25+NPV('3_Giả định'!$C$14/12,C25:Z25)</f>
        <v>-5591201777.45053</v>
      </c>
      <c r="D44" s="46" t="n">
        <f aca="false">B37+NPV('3_Giả định'!$D$14/12,C37:Z37)</f>
        <v>-6128196562.00545</v>
      </c>
      <c r="E44" s="0" t="s">
        <v>378</v>
      </c>
    </row>
    <row r="45" customFormat="false" ht="15" hidden="false" customHeight="true" outlineLevel="0" collapsed="false">
      <c r="A45" s="45" t="s">
        <v>379</v>
      </c>
      <c r="B45" s="49" t="n">
        <f aca="false">IFERROR((1+IRR(B13:Z13,0.01))^12-1,"Không tính được")</f>
        <v>0.912342833110798</v>
      </c>
      <c r="C45" s="49" t="str">
        <f aca="false">IFERROR((1+IRR(B25:Z25,0.01))^12-1,"Không tính được")</f>
        <v>Không tính được</v>
      </c>
      <c r="D45" s="49" t="str">
        <f aca="false">IFERROR((1+IRR(B37:Z37,0.01))^12-1,"Không tính được")</f>
        <v>Không tính được</v>
      </c>
      <c r="E45" s="0" t="s">
        <v>380</v>
      </c>
      <c r="F45" s="50" t="s">
        <v>381</v>
      </c>
    </row>
    <row r="46" customFormat="false" ht="15" hidden="false" customHeight="true" outlineLevel="0" collapsed="false">
      <c r="A46" s="45" t="s">
        <v>382</v>
      </c>
      <c r="B46" s="46" t="n">
        <f aca="false">MIN(B14:Z14)</f>
        <v>-470952092.211911</v>
      </c>
      <c r="C46" s="46" t="n">
        <f aca="false">MIN(B26:Z26)</f>
        <v>-4966748318.45213</v>
      </c>
      <c r="D46" s="46" t="n">
        <f aca="false">MIN(B38:Z38)</f>
        <v>-5616192515.06766</v>
      </c>
      <c r="E46" s="0" t="s">
        <v>378</v>
      </c>
    </row>
    <row r="47" customFormat="false" ht="15" hidden="false" customHeight="true" outlineLevel="0" collapsed="false">
      <c r="A47" s="45" t="s">
        <v>383</v>
      </c>
      <c r="B47" s="77" t="n">
        <f aca="false">IF('3_Giả định'!B7=0,"Chưa điền",IFERROR(MATCH(TRUE(),INDEX(C14:Z14&lt;0,0),0),"Không hết tiền trong 24 tháng"))</f>
        <v>5</v>
      </c>
      <c r="C47" s="77" t="n">
        <f aca="false">IF('3_Giả định'!C7=0,"Chưa điền",IFERROR(MATCH(TRUE(),INDEX(C26:Z26&lt;0,0),0),"Không hết tiền trong 24 tháng"))</f>
        <v>5</v>
      </c>
      <c r="D47" s="77" t="n">
        <f aca="false">IF('3_Giả định'!D7=0,"Chưa điền",IFERROR(MATCH(TRUE(),INDEX(C38:Z38&lt;0,0),0),"Không hết tiền trong 24 tháng"))</f>
        <v>5</v>
      </c>
      <c r="E47" s="0" t="s">
        <v>384</v>
      </c>
      <c r="F47" s="50" t="s">
        <v>385</v>
      </c>
    </row>
    <row r="48" customFormat="false" ht="15" hidden="false" customHeight="true" outlineLevel="0" collapsed="false">
      <c r="A48" s="45" t="s">
        <v>386</v>
      </c>
      <c r="B48" s="77" t="n">
        <f aca="false">IF('3_Giả định'!B7=0,"Chưa điền",IFERROR(MATCH(TRUE(),INDEX(C15:Z15&gt;=0,0),0),"Chưa hoàn vốn trong 24 tháng"))</f>
        <v>20</v>
      </c>
      <c r="C48" s="77" t="str">
        <f aca="false">IF('3_Giả định'!C7=0,"Chưa điền",IFERROR(MATCH(TRUE(),INDEX(C27:Z27&gt;=0,0),0),"Chưa hoàn vốn trong 24 tháng"))</f>
        <v>Chưa hoàn vốn trong 24 tháng</v>
      </c>
      <c r="D48" s="77" t="str">
        <f aca="false">IF('3_Giả định'!D7=0,"Chưa điền",IFERROR(MATCH(TRUE(),INDEX(C39:Z39&gt;=0,0),0),"Chưa hoàn vốn trong 24 tháng"))</f>
        <v>Chưa hoàn vốn trong 24 tháng</v>
      </c>
      <c r="E48" s="0" t="s">
        <v>387</v>
      </c>
    </row>
    <row r="49" customFormat="false" ht="15" hidden="false" customHeight="true" outlineLevel="0" collapsed="false">
      <c r="A49" s="45" t="s">
        <v>388</v>
      </c>
      <c r="B49" s="57" t="n">
        <f aca="false">Z7</f>
        <v>32026.6158454534</v>
      </c>
      <c r="C49" s="57" t="n">
        <f aca="false">Z19</f>
        <v>8244.71480839165</v>
      </c>
      <c r="D49" s="57" t="n">
        <f aca="false">Z31</f>
        <v>1173.69109705875</v>
      </c>
    </row>
    <row r="50" customFormat="false" ht="15" hidden="false" customHeight="true" outlineLevel="0" collapsed="false">
      <c r="A50" s="45" t="s">
        <v>389</v>
      </c>
      <c r="B50" s="46" t="n">
        <f aca="false">Z8</f>
        <v>4914484201.48482</v>
      </c>
      <c r="C50" s="46" t="n">
        <f aca="false">Z20</f>
        <v>1150137715.77064</v>
      </c>
      <c r="D50" s="46" t="n">
        <f aca="false">Z32</f>
        <v>130983926.431757</v>
      </c>
    </row>
    <row r="53" customFormat="false" ht="15" hidden="false" customHeight="true" outlineLevel="0" collapsed="false">
      <c r="A53" s="76" t="s">
        <v>390</v>
      </c>
    </row>
    <row r="54" customFormat="false" ht="15" hidden="false" customHeight="true" outlineLevel="0" collapsed="false">
      <c r="A54" s="78" t="s">
        <v>391</v>
      </c>
      <c r="B54" s="79" t="n">
        <v>0.2</v>
      </c>
      <c r="C54" s="50" t="s">
        <v>392</v>
      </c>
    </row>
    <row r="56" customFormat="false" ht="45" hidden="false" customHeight="true" outlineLevel="0" collapsed="false">
      <c r="A56" s="80" t="s">
        <v>393</v>
      </c>
      <c r="B56" s="81" t="s">
        <v>394</v>
      </c>
      <c r="C56" s="81" t="s">
        <v>395</v>
      </c>
      <c r="D56" s="81" t="s">
        <v>396</v>
      </c>
      <c r="E56" s="81" t="s">
        <v>397</v>
      </c>
      <c r="F56" s="81" t="s">
        <v>383</v>
      </c>
      <c r="G56" s="81" t="s">
        <v>398</v>
      </c>
      <c r="H56" s="81" t="s">
        <v>399</v>
      </c>
    </row>
    <row r="57" customFormat="false" ht="27.75" hidden="false" customHeight="true" outlineLevel="0" collapsed="false">
      <c r="A57" s="4" t="s">
        <v>400</v>
      </c>
      <c r="B57" s="82" t="s">
        <v>401</v>
      </c>
      <c r="C57" s="82" t="s">
        <v>401</v>
      </c>
      <c r="D57" s="83" t="n">
        <f aca="false">(B94+NPV($K$80/12,C94:Z94))/1000000</f>
        <v>-5591.20177745053</v>
      </c>
      <c r="E57" s="82" t="s">
        <v>401</v>
      </c>
      <c r="F57" s="84" t="n">
        <f aca="false">IFERROR(MATCH(TRUE(),INDEX(C95:Z95&lt;0,0),0),"Không hết tiền trong 24 tháng")</f>
        <v>5</v>
      </c>
      <c r="G57" s="84" t="str">
        <f aca="false">IFERROR(MATCH(TRUE(),INDEX(C96:Z96&gt;=0,0),0),"Chưa hoàn vốn trong 24 tháng")</f>
        <v>Chưa hoàn vốn trong 24 tháng</v>
      </c>
    </row>
    <row r="58" customFormat="false" ht="27.75" hidden="false" customHeight="true" outlineLevel="0" collapsed="false">
      <c r="A58" s="78" t="s">
        <v>402</v>
      </c>
      <c r="B58" s="83" t="n">
        <f aca="false">'3_Giả định'!$C$17</f>
        <v>139500</v>
      </c>
      <c r="C58" s="83" t="n">
        <f aca="false">B81</f>
        <v>111600</v>
      </c>
      <c r="D58" s="83" t="n">
        <f aca="false">(B100+NPV($K$81/12,C100:Z100))/1000000</f>
        <v>-7561.80078979705</v>
      </c>
      <c r="E58" s="83" t="n">
        <f aca="false">D58-$D$57</f>
        <v>-1970.59901234652</v>
      </c>
      <c r="F58" s="84" t="n">
        <f aca="false">IFERROR(MATCH(TRUE(),INDEX(C101:Z101&lt;0,0),0),"Không hết tiền trong 24 tháng")</f>
        <v>4</v>
      </c>
      <c r="G58" s="84" t="str">
        <f aca="false">IFERROR(MATCH(TRUE(),INDEX(C102:Z102&gt;=0,0),0),"Chưa hoàn vốn trong 24 tháng")</f>
        <v>Chưa hoàn vốn trong 24 tháng</v>
      </c>
      <c r="H58" s="85" t="n">
        <f aca="false">RANK(D58,$D$58:$D$64,1)</f>
        <v>2</v>
      </c>
    </row>
    <row r="59" customFormat="false" ht="27.75" hidden="false" customHeight="true" outlineLevel="0" collapsed="false">
      <c r="A59" s="78" t="s">
        <v>403</v>
      </c>
      <c r="B59" s="83" t="n">
        <f aca="false">'3_Giả định'!$C$18</f>
        <v>14699.65984</v>
      </c>
      <c r="C59" s="83" t="n">
        <f aca="false">C82</f>
        <v>17639.591808</v>
      </c>
      <c r="D59" s="83" t="n">
        <f aca="false">(B106+NPV($K$82/12,C106:Z106))/1000000</f>
        <v>-5798.8514918773</v>
      </c>
      <c r="E59" s="83" t="n">
        <f aca="false">D59-$D$57</f>
        <v>-207.649714426764</v>
      </c>
      <c r="F59" s="84" t="n">
        <f aca="false">IFERROR(MATCH(TRUE(),INDEX(C107:Z107&lt;0,0),0),"Không hết tiền trong 24 tháng")</f>
        <v>5</v>
      </c>
      <c r="G59" s="84" t="str">
        <f aca="false">IFERROR(MATCH(TRUE(),INDEX(C108:Z108&gt;=0,0),0),"Chưa hoàn vốn trong 24 tháng")</f>
        <v>Chưa hoàn vốn trong 24 tháng</v>
      </c>
      <c r="H59" s="85" t="n">
        <f aca="false">RANK(D59,$D$58:$D$64,1)</f>
        <v>5</v>
      </c>
    </row>
    <row r="60" customFormat="false" ht="27.75" hidden="false" customHeight="true" outlineLevel="0" collapsed="false">
      <c r="A60" s="78" t="s">
        <v>404</v>
      </c>
      <c r="B60" s="86" t="n">
        <f aca="false">'3_Giả định'!$C$9</f>
        <v>0.15</v>
      </c>
      <c r="C60" s="86" t="n">
        <f aca="false">F83</f>
        <v>0.18</v>
      </c>
      <c r="D60" s="83" t="n">
        <f aca="false">(B112+NPV($K$83/12,C112:Z112))/1000000</f>
        <v>-6475.88175512992</v>
      </c>
      <c r="E60" s="83" t="n">
        <f aca="false">D60-$D$57</f>
        <v>-884.679977679382</v>
      </c>
      <c r="F60" s="84" t="n">
        <f aca="false">IFERROR(MATCH(TRUE(),INDEX(C113:Z113&lt;0,0),0),"Không hết tiền trong 24 tháng")</f>
        <v>5</v>
      </c>
      <c r="G60" s="84" t="str">
        <f aca="false">IFERROR(MATCH(TRUE(),INDEX(C114:Z114&gt;=0,0),0),"Chưa hoàn vốn trong 24 tháng")</f>
        <v>Chưa hoàn vốn trong 24 tháng</v>
      </c>
      <c r="H60" s="85" t="n">
        <f aca="false">RANK(D60,$D$58:$D$64,1)</f>
        <v>3</v>
      </c>
    </row>
    <row r="61" customFormat="false" ht="27.75" hidden="false" customHeight="true" outlineLevel="0" collapsed="false">
      <c r="A61" s="78" t="s">
        <v>405</v>
      </c>
      <c r="B61" s="83" t="n">
        <f aca="false">'3_Giả định'!$C$10</f>
        <v>700000</v>
      </c>
      <c r="C61" s="83" t="n">
        <f aca="false">G84</f>
        <v>840000</v>
      </c>
      <c r="D61" s="83" t="n">
        <f aca="false">(B118+NPV($K$84/12,C118:Z118))/1000000</f>
        <v>-7897.40980258285</v>
      </c>
      <c r="E61" s="83" t="n">
        <f aca="false">D61-$D$57</f>
        <v>-2306.20802513232</v>
      </c>
      <c r="F61" s="84" t="n">
        <f aca="false">IFERROR(MATCH(TRUE(),INDEX(C119:Z119&lt;0,0),0),"Không hết tiền trong 24 tháng")</f>
        <v>4</v>
      </c>
      <c r="G61" s="84" t="str">
        <f aca="false">IFERROR(MATCH(TRUE(),INDEX(C120:Z120&gt;=0,0),0),"Chưa hoàn vốn trong 24 tháng")</f>
        <v>Chưa hoàn vốn trong 24 tháng</v>
      </c>
      <c r="H61" s="85" t="n">
        <f aca="false">RANK(D61,$D$58:$D$64,1)</f>
        <v>1</v>
      </c>
    </row>
    <row r="62" customFormat="false" ht="27.75" hidden="false" customHeight="true" outlineLevel="0" collapsed="false">
      <c r="A62" s="78" t="s">
        <v>406</v>
      </c>
      <c r="B62" s="87" t="n">
        <f aca="false">'3_Giả định'!$C$7</f>
        <v>300</v>
      </c>
      <c r="C62" s="87" t="n">
        <f aca="false">D85</f>
        <v>240</v>
      </c>
      <c r="D62" s="83" t="n">
        <f aca="false">(B124+NPV($K$85/12,C124:Z124))/1000000</f>
        <v>-5047.94305023797</v>
      </c>
      <c r="E62" s="83" t="n">
        <f aca="false">D62-$D$57</f>
        <v>543.258727212563</v>
      </c>
      <c r="F62" s="84" t="n">
        <f aca="false">IFERROR(MATCH(TRUE(),INDEX(C125:Z125&lt;0,0),0),"Không hết tiền trong 24 tháng")</f>
        <v>5</v>
      </c>
      <c r="G62" s="84" t="str">
        <f aca="false">IFERROR(MATCH(TRUE(),INDEX(C126:Z126&gt;=0,0),0),"Chưa hoàn vốn trong 24 tháng")</f>
        <v>Chưa hoàn vốn trong 24 tháng</v>
      </c>
      <c r="H62" s="85" t="n">
        <f aca="false">RANK(D62,$D$58:$D$64,1)</f>
        <v>6</v>
      </c>
    </row>
    <row r="63" customFormat="false" ht="27.75" hidden="false" customHeight="true" outlineLevel="0" collapsed="false">
      <c r="A63" s="78" t="s">
        <v>407</v>
      </c>
      <c r="B63" s="86" t="n">
        <f aca="false">'3_Giả định'!$C$8</f>
        <v>0.08</v>
      </c>
      <c r="C63" s="86" t="n">
        <f aca="false">E86</f>
        <v>0.064</v>
      </c>
      <c r="D63" s="83" t="n">
        <f aca="false">(B130+NPV($K$86/12,C130:Z130))/1000000</f>
        <v>-4836.51578677645</v>
      </c>
      <c r="E63" s="83" t="n">
        <f aca="false">D63-$D$57</f>
        <v>754.685990674082</v>
      </c>
      <c r="F63" s="84" t="n">
        <f aca="false">IFERROR(MATCH(TRUE(),INDEX(C131:Z131&lt;0,0),0),"Không hết tiền trong 24 tháng")</f>
        <v>5</v>
      </c>
      <c r="G63" s="84" t="str">
        <f aca="false">IFERROR(MATCH(TRUE(),INDEX(C132:Z132&gt;=0,0),0),"Chưa hoàn vốn trong 24 tháng")</f>
        <v>Chưa hoàn vốn trong 24 tháng</v>
      </c>
      <c r="H63" s="85" t="n">
        <f aca="false">RANK(D63,$D$58:$D$64,1)</f>
        <v>7</v>
      </c>
    </row>
    <row r="64" customFormat="false" ht="27.75" hidden="false" customHeight="true" outlineLevel="0" collapsed="false">
      <c r="A64" s="78" t="s">
        <v>408</v>
      </c>
      <c r="B64" s="83" t="n">
        <f aca="false">'3_Giả định'!$C$11</f>
        <v>120000000</v>
      </c>
      <c r="C64" s="83" t="n">
        <f aca="false">H87</f>
        <v>144000000</v>
      </c>
      <c r="D64" s="83" t="n">
        <f aca="false">(B136+NPV($K$87/12,C136:Z136))/1000000</f>
        <v>-6086.18340572808</v>
      </c>
      <c r="E64" s="83" t="n">
        <f aca="false">D64-$D$57</f>
        <v>-494.981628277544</v>
      </c>
      <c r="F64" s="84" t="n">
        <f aca="false">IFERROR(MATCH(TRUE(),INDEX(C137:Z137&lt;0,0),0),"Không hết tiền trong 24 tháng")</f>
        <v>4</v>
      </c>
      <c r="G64" s="84" t="str">
        <f aca="false">IFERROR(MATCH(TRUE(),INDEX(C138:Z138&gt;=0,0),0),"Chưa hoàn vốn trong 24 tháng")</f>
        <v>Chưa hoàn vốn trong 24 tháng</v>
      </c>
      <c r="H64" s="85" t="n">
        <f aca="false">RANK(D64,$D$58:$D$64,1)</f>
        <v>4</v>
      </c>
    </row>
    <row r="66" customFormat="false" ht="15" hidden="false" customHeight="true" outlineLevel="0" collapsed="false">
      <c r="A66" s="4" t="s">
        <v>409</v>
      </c>
      <c r="B66" s="88" t="str">
        <f aca="false">IF(MAX(D58:D64)-MIN(D58:D64)&lt;0.5,"Chưa đủ số liệu",INDEX(A58:A64,MATCH(MIN(D58:D64),D58:D64,0)))</f>
        <v>Chi phí có một khách tăng</v>
      </c>
    </row>
    <row r="68" customFormat="false" ht="31.5" hidden="false" customHeight="true" outlineLevel="0" collapsed="false">
      <c r="A68" s="89" t="s">
        <v>410</v>
      </c>
      <c r="B68" s="82" t="s">
        <v>401</v>
      </c>
      <c r="C68" s="82" t="s">
        <v>401</v>
      </c>
      <c r="D68" s="83" t="n">
        <f aca="false">(B142+NPV($K$88/12,C142:Z142))/1000000</f>
        <v>-7855.30806175861</v>
      </c>
      <c r="E68" s="83" t="n">
        <f aca="false">D68-$D$57</f>
        <v>-2264.10628430808</v>
      </c>
      <c r="F68" s="84" t="n">
        <f aca="false">IFERROR(MATCH(TRUE(),INDEX(C143:Z143&lt;0,0),0),"Không hết tiền trong 24 tháng")</f>
        <v>4</v>
      </c>
      <c r="G68" s="84" t="str">
        <f aca="false">IFERROR(MATCH(TRUE(),INDEX(C144:Z144&gt;=0,0),0),"Chưa hoàn vốn trong 24 tháng")</f>
        <v>Chưa hoàn vốn trong 24 tháng</v>
      </c>
    </row>
    <row r="69" customFormat="false" ht="15" hidden="false" customHeight="true" outlineLevel="0" collapsed="false">
      <c r="A69" s="50" t="s">
        <v>411</v>
      </c>
    </row>
    <row r="70" customFormat="false" ht="15" hidden="false" customHeight="true" outlineLevel="0" collapsed="false">
      <c r="A70" s="76" t="s">
        <v>412</v>
      </c>
    </row>
    <row r="71" customFormat="false" ht="45" hidden="false" customHeight="true" outlineLevel="0" collapsed="false">
      <c r="A71" s="14" t="s">
        <v>325</v>
      </c>
      <c r="B71" s="14" t="s">
        <v>413</v>
      </c>
      <c r="C71" s="14" t="s">
        <v>414</v>
      </c>
      <c r="D71" s="54" t="s">
        <v>415</v>
      </c>
      <c r="E71" s="90" t="s">
        <v>416</v>
      </c>
      <c r="F71" s="90"/>
      <c r="G71" s="90"/>
      <c r="H71" s="90"/>
    </row>
    <row r="72" customFormat="false" ht="15" hidden="false" customHeight="true" outlineLevel="0" collapsed="false">
      <c r="A72" s="21" t="s">
        <v>417</v>
      </c>
      <c r="B72" s="23" t="n">
        <f aca="false">'3_Giả định'!C17</f>
        <v>139500</v>
      </c>
      <c r="C72" s="25" t="n">
        <f aca="false">IFERROR(B72*(1-$B$54*$D$57/($D$57-$D$58)),"")</f>
        <v>218660.970148421</v>
      </c>
      <c r="D72" s="27" t="n">
        <f aca="false">IFERROR(C72/B72-1,"")</f>
        <v>0.567462151601582</v>
      </c>
      <c r="E72" s="21" t="s">
        <v>418</v>
      </c>
      <c r="F72" s="21"/>
      <c r="G72" s="21"/>
      <c r="H72" s="21"/>
    </row>
    <row r="73" customFormat="false" ht="15" hidden="false" customHeight="true" outlineLevel="0" collapsed="false">
      <c r="A73" s="21" t="s">
        <v>101</v>
      </c>
      <c r="B73" s="91" t="n">
        <f aca="false">'4_Chỉ số mỗi khách'!C7</f>
        <v>0.894626094336918</v>
      </c>
      <c r="C73" s="63" t="n">
        <f aca="false">IFERROR(1-('3_Giả định'!C18*(1+$B$54*$D$57/($D$57-$D$59)))/'3_Giả định'!C17,"")</f>
        <v>1.4620882459385</v>
      </c>
      <c r="D73" s="91" t="n">
        <f aca="false">IFERROR(C73-B73,"")</f>
        <v>0.567462151601585</v>
      </c>
      <c r="E73" s="21" t="s">
        <v>419</v>
      </c>
      <c r="F73" s="21"/>
      <c r="G73" s="21"/>
      <c r="H73" s="21"/>
    </row>
    <row r="74" customFormat="false" ht="15" hidden="false" customHeight="true" outlineLevel="0" collapsed="false">
      <c r="A74" s="21" t="s">
        <v>420</v>
      </c>
      <c r="B74" s="23" t="n">
        <f aca="false">'3_Giả định'!C10</f>
        <v>700000</v>
      </c>
      <c r="C74" s="25" t="n">
        <f aca="false">IFERROR(B74*(1+$B$54*$D$57/($D$57-$D$61)),"")</f>
        <v>360582.115614586</v>
      </c>
      <c r="D74" s="27" t="n">
        <f aca="false">IFERROR(C74/B74-1,"")</f>
        <v>-0.484882691979163</v>
      </c>
      <c r="E74" s="92" t="str">
        <f aca="false">IFERROR("Trên mức này là 'nguy'. Tương ứng LTV ÷ CAC = "&amp;ROUND('4_Chỉ số mỗi khách'!C9/C74,1)&amp;", không phải 3","")</f>
        <v>Trên mức này là 'nguy'. Tương ứng LTV ÷ CAC = 2.3, không phải 3</v>
      </c>
      <c r="F74" s="92"/>
      <c r="G74" s="92"/>
      <c r="H74" s="92"/>
    </row>
    <row r="75" customFormat="false" ht="15" hidden="false" customHeight="true" outlineLevel="0" collapsed="false">
      <c r="A75" s="21" t="s">
        <v>421</v>
      </c>
      <c r="B75" s="93" t="n">
        <f aca="false">'3_Giả định'!C7</f>
        <v>300</v>
      </c>
      <c r="C75" s="94" t="n">
        <f aca="false">IFERROR(B75*(1-$B$54*$D$57/($D$57-$D$62)),"")</f>
        <v>-317.51811769012</v>
      </c>
      <c r="D75" s="27" t="n">
        <f aca="false">IFERROR(C75/B75-1,"")</f>
        <v>-2.05839372563373</v>
      </c>
      <c r="E75" s="21" t="s">
        <v>422</v>
      </c>
      <c r="F75" s="21"/>
      <c r="G75" s="21"/>
      <c r="H75" s="21"/>
    </row>
    <row r="76" customFormat="false" ht="15" hidden="false" customHeight="true" outlineLevel="0" collapsed="false">
      <c r="A76" s="21" t="s">
        <v>423</v>
      </c>
      <c r="B76" s="23" t="n">
        <f aca="false">'3_Giả định'!C11</f>
        <v>120000000</v>
      </c>
      <c r="C76" s="25" t="n">
        <f aca="false">IFERROR(B76*(1+$B$54*$D$57/($D$57-$D$64)),"")</f>
        <v>-151098632.742731</v>
      </c>
      <c r="D76" s="27" t="n">
        <f aca="false">IFERROR(C76/B76-1,"")</f>
        <v>-2.25915527285609</v>
      </c>
      <c r="E76" s="21" t="s">
        <v>424</v>
      </c>
      <c r="F76" s="21"/>
      <c r="G76" s="21"/>
      <c r="H76" s="21"/>
    </row>
    <row r="77" customFormat="false" ht="15" hidden="false" customHeight="true" outlineLevel="0" collapsed="false">
      <c r="A77" s="21" t="s">
        <v>425</v>
      </c>
      <c r="B77" s="91" t="n">
        <f aca="false">'2_Định giá'!B27</f>
        <v>0</v>
      </c>
      <c r="C77" s="63" t="n">
        <f aca="false">IFERROR(1-C72/('2_Định giá'!D17*'3_Giả định'!C5),"")</f>
        <v>-0.567462151601582</v>
      </c>
      <c r="D77" s="91" t="n">
        <f aca="false">IFERROR(C77-B77,"")</f>
        <v>-0.567462151601582</v>
      </c>
      <c r="E77" s="21" t="s">
        <v>426</v>
      </c>
      <c r="F77" s="21"/>
      <c r="G77" s="21"/>
      <c r="H77" s="21"/>
    </row>
    <row r="78" customFormat="false" ht="15" hidden="false" customHeight="true" outlineLevel="0" collapsed="false">
      <c r="A78" s="95" t="s">
        <v>427</v>
      </c>
    </row>
    <row r="79" customFormat="false" ht="15" hidden="true" customHeight="true" outlineLevel="1" collapsed="false">
      <c r="A79" s="95" t="s">
        <v>428</v>
      </c>
      <c r="B79" s="95" t="s">
        <v>429</v>
      </c>
      <c r="C79" s="95" t="s">
        <v>430</v>
      </c>
      <c r="D79" s="95" t="s">
        <v>431</v>
      </c>
      <c r="E79" s="95" t="s">
        <v>432</v>
      </c>
      <c r="F79" s="95" t="s">
        <v>433</v>
      </c>
      <c r="G79" s="95" t="s">
        <v>434</v>
      </c>
      <c r="H79" s="95" t="s">
        <v>370</v>
      </c>
      <c r="I79" s="95" t="s">
        <v>435</v>
      </c>
      <c r="J79" s="95" t="s">
        <v>436</v>
      </c>
      <c r="K79" s="95" t="s">
        <v>437</v>
      </c>
    </row>
    <row r="80" customFormat="false" ht="15" hidden="true" customHeight="true" outlineLevel="1" collapsed="false">
      <c r="A80" s="95" t="s">
        <v>438</v>
      </c>
      <c r="B80" s="96" t="n">
        <f aca="false">'3_Giả định'!$C$17</f>
        <v>139500</v>
      </c>
      <c r="C80" s="96" t="n">
        <f aca="false">'3_Giả định'!$C$18</f>
        <v>14699.65984</v>
      </c>
      <c r="D80" s="97" t="n">
        <f aca="false">'3_Giả định'!$C$7</f>
        <v>300</v>
      </c>
      <c r="E80" s="98" t="n">
        <f aca="false">'3_Giả định'!$C$8</f>
        <v>0.08</v>
      </c>
      <c r="F80" s="98" t="n">
        <f aca="false">'3_Giả định'!$C$9</f>
        <v>0.15</v>
      </c>
      <c r="G80" s="96" t="n">
        <f aca="false">'3_Giả định'!$C$10</f>
        <v>700000</v>
      </c>
      <c r="H80" s="96" t="n">
        <f aca="false">'3_Giả định'!$C$11</f>
        <v>120000000</v>
      </c>
      <c r="I80" s="96" t="n">
        <f aca="false">'3_Giả định'!$C$12</f>
        <v>400000000</v>
      </c>
      <c r="J80" s="96" t="n">
        <f aca="false">'3_Giả định'!$C$13</f>
        <v>1500000000</v>
      </c>
      <c r="K80" s="98" t="n">
        <f aca="false">'3_Giả định'!$C$14</f>
        <v>0.15</v>
      </c>
    </row>
    <row r="81" customFormat="false" ht="15" hidden="true" customHeight="true" outlineLevel="1" collapsed="false">
      <c r="A81" s="95" t="s">
        <v>439</v>
      </c>
      <c r="B81" s="96" t="n">
        <f aca="false">'3_Giả định'!$C$17*(1-$B$54)</f>
        <v>111600</v>
      </c>
      <c r="C81" s="96" t="n">
        <f aca="false">'3_Giả định'!$C$18</f>
        <v>14699.65984</v>
      </c>
      <c r="D81" s="97" t="n">
        <f aca="false">'3_Giả định'!$C$7</f>
        <v>300</v>
      </c>
      <c r="E81" s="98" t="n">
        <f aca="false">'3_Giả định'!$C$8</f>
        <v>0.08</v>
      </c>
      <c r="F81" s="98" t="n">
        <f aca="false">'3_Giả định'!$C$9</f>
        <v>0.15</v>
      </c>
      <c r="G81" s="96" t="n">
        <f aca="false">'3_Giả định'!$C$10</f>
        <v>700000</v>
      </c>
      <c r="H81" s="96" t="n">
        <f aca="false">'3_Giả định'!$C$11</f>
        <v>120000000</v>
      </c>
      <c r="I81" s="96" t="n">
        <f aca="false">'3_Giả định'!$C$12</f>
        <v>400000000</v>
      </c>
      <c r="J81" s="96" t="n">
        <f aca="false">'3_Giả định'!$C$13</f>
        <v>1500000000</v>
      </c>
      <c r="K81" s="98" t="n">
        <f aca="false">'3_Giả định'!$C$14</f>
        <v>0.15</v>
      </c>
    </row>
    <row r="82" customFormat="false" ht="15" hidden="true" customHeight="true" outlineLevel="1" collapsed="false">
      <c r="A82" s="95" t="s">
        <v>440</v>
      </c>
      <c r="B82" s="96" t="n">
        <f aca="false">'3_Giả định'!$C$17</f>
        <v>139500</v>
      </c>
      <c r="C82" s="96" t="n">
        <f aca="false">'3_Giả định'!$C$18*(1+$B$54)</f>
        <v>17639.591808</v>
      </c>
      <c r="D82" s="97" t="n">
        <f aca="false">'3_Giả định'!$C$7</f>
        <v>300</v>
      </c>
      <c r="E82" s="98" t="n">
        <f aca="false">'3_Giả định'!$C$8</f>
        <v>0.08</v>
      </c>
      <c r="F82" s="98" t="n">
        <f aca="false">'3_Giả định'!$C$9</f>
        <v>0.15</v>
      </c>
      <c r="G82" s="96" t="n">
        <f aca="false">'3_Giả định'!$C$10</f>
        <v>700000</v>
      </c>
      <c r="H82" s="96" t="n">
        <f aca="false">'3_Giả định'!$C$11</f>
        <v>120000000</v>
      </c>
      <c r="I82" s="96" t="n">
        <f aca="false">'3_Giả định'!$C$12</f>
        <v>400000000</v>
      </c>
      <c r="J82" s="96" t="n">
        <f aca="false">'3_Giả định'!$C$13</f>
        <v>1500000000</v>
      </c>
      <c r="K82" s="98" t="n">
        <f aca="false">'3_Giả định'!$C$14</f>
        <v>0.15</v>
      </c>
    </row>
    <row r="83" customFormat="false" ht="15" hidden="true" customHeight="true" outlineLevel="1" collapsed="false">
      <c r="A83" s="95" t="s">
        <v>441</v>
      </c>
      <c r="B83" s="96" t="n">
        <f aca="false">'3_Giả định'!$C$17</f>
        <v>139500</v>
      </c>
      <c r="C83" s="96" t="n">
        <f aca="false">'3_Giả định'!$C$18</f>
        <v>14699.65984</v>
      </c>
      <c r="D83" s="97" t="n">
        <f aca="false">'3_Giả định'!$C$7</f>
        <v>300</v>
      </c>
      <c r="E83" s="98" t="n">
        <f aca="false">'3_Giả định'!$C$8</f>
        <v>0.08</v>
      </c>
      <c r="F83" s="98" t="n">
        <f aca="false">'3_Giả định'!$C$9*(1+$B$54)</f>
        <v>0.18</v>
      </c>
      <c r="G83" s="96" t="n">
        <f aca="false">'3_Giả định'!$C$10</f>
        <v>700000</v>
      </c>
      <c r="H83" s="96" t="n">
        <f aca="false">'3_Giả định'!$C$11</f>
        <v>120000000</v>
      </c>
      <c r="I83" s="96" t="n">
        <f aca="false">'3_Giả định'!$C$12</f>
        <v>400000000</v>
      </c>
      <c r="J83" s="96" t="n">
        <f aca="false">'3_Giả định'!$C$13</f>
        <v>1500000000</v>
      </c>
      <c r="K83" s="98" t="n">
        <f aca="false">'3_Giả định'!$C$14</f>
        <v>0.15</v>
      </c>
    </row>
    <row r="84" customFormat="false" ht="15" hidden="true" customHeight="true" outlineLevel="1" collapsed="false">
      <c r="A84" s="95" t="s">
        <v>442</v>
      </c>
      <c r="B84" s="96" t="n">
        <f aca="false">'3_Giả định'!$C$17</f>
        <v>139500</v>
      </c>
      <c r="C84" s="96" t="n">
        <f aca="false">'3_Giả định'!$C$18</f>
        <v>14699.65984</v>
      </c>
      <c r="D84" s="97" t="n">
        <f aca="false">'3_Giả định'!$C$7</f>
        <v>300</v>
      </c>
      <c r="E84" s="98" t="n">
        <f aca="false">'3_Giả định'!$C$8</f>
        <v>0.08</v>
      </c>
      <c r="F84" s="98" t="n">
        <f aca="false">'3_Giả định'!$C$9</f>
        <v>0.15</v>
      </c>
      <c r="G84" s="96" t="n">
        <f aca="false">'3_Giả định'!$C$10*(1+$B$54)</f>
        <v>840000</v>
      </c>
      <c r="H84" s="96" t="n">
        <f aca="false">'3_Giả định'!$C$11</f>
        <v>120000000</v>
      </c>
      <c r="I84" s="96" t="n">
        <f aca="false">'3_Giả định'!$C$12</f>
        <v>400000000</v>
      </c>
      <c r="J84" s="96" t="n">
        <f aca="false">'3_Giả định'!$C$13</f>
        <v>1500000000</v>
      </c>
      <c r="K84" s="98" t="n">
        <f aca="false">'3_Giả định'!$C$14</f>
        <v>0.15</v>
      </c>
    </row>
    <row r="85" customFormat="false" ht="15" hidden="true" customHeight="true" outlineLevel="1" collapsed="false">
      <c r="A85" s="95" t="s">
        <v>443</v>
      </c>
      <c r="B85" s="96" t="n">
        <f aca="false">'3_Giả định'!$C$17</f>
        <v>139500</v>
      </c>
      <c r="C85" s="96" t="n">
        <f aca="false">'3_Giả định'!$C$18</f>
        <v>14699.65984</v>
      </c>
      <c r="D85" s="97" t="n">
        <f aca="false">'3_Giả định'!$C$7*(1-$B$54)</f>
        <v>240</v>
      </c>
      <c r="E85" s="98" t="n">
        <f aca="false">'3_Giả định'!$C$8</f>
        <v>0.08</v>
      </c>
      <c r="F85" s="98" t="n">
        <f aca="false">'3_Giả định'!$C$9</f>
        <v>0.15</v>
      </c>
      <c r="G85" s="96" t="n">
        <f aca="false">'3_Giả định'!$C$10</f>
        <v>700000</v>
      </c>
      <c r="H85" s="96" t="n">
        <f aca="false">'3_Giả định'!$C$11</f>
        <v>120000000</v>
      </c>
      <c r="I85" s="96" t="n">
        <f aca="false">'3_Giả định'!$C$12</f>
        <v>400000000</v>
      </c>
      <c r="J85" s="96" t="n">
        <f aca="false">'3_Giả định'!$C$13</f>
        <v>1500000000</v>
      </c>
      <c r="K85" s="98" t="n">
        <f aca="false">'3_Giả định'!$C$14</f>
        <v>0.15</v>
      </c>
    </row>
    <row r="86" customFormat="false" ht="15" hidden="true" customHeight="true" outlineLevel="1" collapsed="false">
      <c r="A86" s="95" t="s">
        <v>444</v>
      </c>
      <c r="B86" s="96" t="n">
        <f aca="false">'3_Giả định'!$C$17</f>
        <v>139500</v>
      </c>
      <c r="C86" s="96" t="n">
        <f aca="false">'3_Giả định'!$C$18</f>
        <v>14699.65984</v>
      </c>
      <c r="D86" s="97" t="n">
        <f aca="false">'3_Giả định'!$C$7</f>
        <v>300</v>
      </c>
      <c r="E86" s="98" t="n">
        <f aca="false">'3_Giả định'!$C$8*(1-$B$54)</f>
        <v>0.064</v>
      </c>
      <c r="F86" s="98" t="n">
        <f aca="false">'3_Giả định'!$C$9</f>
        <v>0.15</v>
      </c>
      <c r="G86" s="96" t="n">
        <f aca="false">'3_Giả định'!$C$10</f>
        <v>700000</v>
      </c>
      <c r="H86" s="96" t="n">
        <f aca="false">'3_Giả định'!$C$11</f>
        <v>120000000</v>
      </c>
      <c r="I86" s="96" t="n">
        <f aca="false">'3_Giả định'!$C$12</f>
        <v>400000000</v>
      </c>
      <c r="J86" s="96" t="n">
        <f aca="false">'3_Giả định'!$C$13</f>
        <v>1500000000</v>
      </c>
      <c r="K86" s="98" t="n">
        <f aca="false">'3_Giả định'!$C$14</f>
        <v>0.15</v>
      </c>
    </row>
    <row r="87" customFormat="false" ht="15" hidden="true" customHeight="true" outlineLevel="1" collapsed="false">
      <c r="A87" s="95" t="s">
        <v>445</v>
      </c>
      <c r="B87" s="96" t="n">
        <f aca="false">'3_Giả định'!$C$17</f>
        <v>139500</v>
      </c>
      <c r="C87" s="96" t="n">
        <f aca="false">'3_Giả định'!$C$18</f>
        <v>14699.65984</v>
      </c>
      <c r="D87" s="97" t="n">
        <f aca="false">'3_Giả định'!$C$7</f>
        <v>300</v>
      </c>
      <c r="E87" s="98" t="n">
        <f aca="false">'3_Giả định'!$C$8</f>
        <v>0.08</v>
      </c>
      <c r="F87" s="98" t="n">
        <f aca="false">'3_Giả định'!$C$9</f>
        <v>0.15</v>
      </c>
      <c r="G87" s="96" t="n">
        <f aca="false">'3_Giả định'!$C$10</f>
        <v>700000</v>
      </c>
      <c r="H87" s="96" t="n">
        <f aca="false">'3_Giả định'!$C$11*(1+$B$54)</f>
        <v>144000000</v>
      </c>
      <c r="I87" s="96" t="n">
        <f aca="false">'3_Giả định'!$C$12</f>
        <v>400000000</v>
      </c>
      <c r="J87" s="96" t="n">
        <f aca="false">'3_Giả định'!$C$13</f>
        <v>1500000000</v>
      </c>
      <c r="K87" s="98" t="n">
        <f aca="false">'3_Giả định'!$C$14</f>
        <v>0.15</v>
      </c>
    </row>
    <row r="88" customFormat="false" ht="15" hidden="true" customHeight="true" outlineLevel="1" collapsed="false">
      <c r="A88" s="95" t="s">
        <v>446</v>
      </c>
      <c r="B88" s="96" t="n">
        <f aca="false">'2_Định giá'!$D$15*'3_Giả định'!$C$5*(1-'2_Định giá'!$B$27)</f>
        <v>99000</v>
      </c>
      <c r="C88" s="96" t="n">
        <f aca="false">'2_Định giá'!$E$15*'3_Giả định'!$C$6</f>
        <v>6255.1744</v>
      </c>
      <c r="D88" s="97" t="n">
        <f aca="false">'3_Giả định'!$C$7</f>
        <v>300</v>
      </c>
      <c r="E88" s="98" t="n">
        <f aca="false">'3_Giả định'!$C$8</f>
        <v>0.08</v>
      </c>
      <c r="F88" s="98" t="n">
        <f aca="false">'3_Giả định'!$C$9</f>
        <v>0.15</v>
      </c>
      <c r="G88" s="96" t="n">
        <f aca="false">'3_Giả định'!$C$10</f>
        <v>700000</v>
      </c>
      <c r="H88" s="96" t="n">
        <f aca="false">'3_Giả định'!$C$11</f>
        <v>120000000</v>
      </c>
      <c r="I88" s="96" t="n">
        <f aca="false">'3_Giả định'!$C$12</f>
        <v>400000000</v>
      </c>
      <c r="J88" s="96" t="n">
        <f aca="false">'3_Giả định'!$C$13</f>
        <v>1500000000</v>
      </c>
      <c r="K88" s="98" t="n">
        <f aca="false">'3_Giả định'!$C$14</f>
        <v>0.15</v>
      </c>
    </row>
    <row r="89" customFormat="false" ht="15" hidden="true" customHeight="true" outlineLevel="1" collapsed="false"/>
    <row r="90" customFormat="false" ht="15" hidden="true" customHeight="true" outlineLevel="1" collapsed="false"/>
    <row r="91" customFormat="false" ht="15" hidden="true" customHeight="true" outlineLevel="1" collapsed="false"/>
    <row r="92" customFormat="false" ht="15" hidden="true" customHeight="true" outlineLevel="1" collapsed="false">
      <c r="A92" s="95" t="s">
        <v>447</v>
      </c>
      <c r="C92" s="97" t="n">
        <f aca="false">$D$80*(1+$E$80)^0</f>
        <v>300</v>
      </c>
      <c r="D92" s="97" t="n">
        <f aca="false">$D$80*(1+$E$80)^1</f>
        <v>324</v>
      </c>
      <c r="E92" s="97" t="n">
        <f aca="false">$D$80*(1+$E$80)^2</f>
        <v>349.92</v>
      </c>
      <c r="F92" s="97" t="n">
        <f aca="false">$D$80*(1+$E$80)^3</f>
        <v>377.9136</v>
      </c>
      <c r="G92" s="97" t="n">
        <f aca="false">$D$80*(1+$E$80)^4</f>
        <v>408.146688</v>
      </c>
      <c r="H92" s="97" t="n">
        <f aca="false">$D$80*(1+$E$80)^5</f>
        <v>440.79842304</v>
      </c>
      <c r="I92" s="97" t="n">
        <f aca="false">$D$80*(1+$E$80)^6</f>
        <v>476.0622968832</v>
      </c>
      <c r="J92" s="97" t="n">
        <f aca="false">$D$80*(1+$E$80)^7</f>
        <v>514.147280633856</v>
      </c>
      <c r="K92" s="97" t="n">
        <f aca="false">$D$80*(1+$E$80)^8</f>
        <v>555.279063084565</v>
      </c>
      <c r="L92" s="97" t="n">
        <f aca="false">$D$80*(1+$E$80)^9</f>
        <v>599.70138813133</v>
      </c>
      <c r="M92" s="97" t="n">
        <f aca="false">$D$80*(1+$E$80)^10</f>
        <v>647.677499181836</v>
      </c>
      <c r="N92" s="97" t="n">
        <f aca="false">$D$80*(1+$E$80)^11</f>
        <v>699.491699116383</v>
      </c>
      <c r="O92" s="97" t="n">
        <f aca="false">$D$80*(1+$E$80)^12</f>
        <v>755.451035045694</v>
      </c>
      <c r="P92" s="97" t="n">
        <f aca="false">$D$80*(1+$E$80)^13</f>
        <v>815.88711784935</v>
      </c>
      <c r="Q92" s="97" t="n">
        <f aca="false">$D$80*(1+$E$80)^14</f>
        <v>881.158087277298</v>
      </c>
      <c r="R92" s="97" t="n">
        <f aca="false">$D$80*(1+$E$80)^15</f>
        <v>951.650734259482</v>
      </c>
      <c r="S92" s="97" t="n">
        <f aca="false">$D$80*(1+$E$80)^16</f>
        <v>1027.78279300024</v>
      </c>
      <c r="T92" s="97" t="n">
        <f aca="false">$D$80*(1+$E$80)^17</f>
        <v>1110.00541644026</v>
      </c>
      <c r="U92" s="97" t="n">
        <f aca="false">$D$80*(1+$E$80)^18</f>
        <v>1198.80584975548</v>
      </c>
      <c r="V92" s="97" t="n">
        <f aca="false">$D$80*(1+$E$80)^19</f>
        <v>1294.71031773592</v>
      </c>
      <c r="W92" s="97" t="n">
        <f aca="false">$D$80*(1+$E$80)^20</f>
        <v>1398.28714315479</v>
      </c>
      <c r="X92" s="97" t="n">
        <f aca="false">$D$80*(1+$E$80)^21</f>
        <v>1510.15011460718</v>
      </c>
      <c r="Y92" s="97" t="n">
        <f aca="false">$D$80*(1+$E$80)^22</f>
        <v>1630.96212377575</v>
      </c>
      <c r="Z92" s="97" t="n">
        <f aca="false">$D$80*(1+$E$80)^23</f>
        <v>1761.43909367781</v>
      </c>
    </row>
    <row r="93" customFormat="false" ht="15" hidden="true" customHeight="true" outlineLevel="1" collapsed="false">
      <c r="A93" s="95" t="s">
        <v>448</v>
      </c>
      <c r="B93" s="95" t="n">
        <v>0</v>
      </c>
      <c r="C93" s="97" t="n">
        <f aca="false">B93*(1-$F$80)+C92</f>
        <v>300</v>
      </c>
      <c r="D93" s="97" t="n">
        <f aca="false">C93*(1-$F$80)+D92</f>
        <v>579</v>
      </c>
      <c r="E93" s="97" t="n">
        <f aca="false">D93*(1-$F$80)+E92</f>
        <v>842.07</v>
      </c>
      <c r="F93" s="97" t="n">
        <f aca="false">E93*(1-$F$80)+F92</f>
        <v>1093.6731</v>
      </c>
      <c r="G93" s="97" t="n">
        <f aca="false">F93*(1-$F$80)+G92</f>
        <v>1337.768823</v>
      </c>
      <c r="H93" s="97" t="n">
        <f aca="false">G93*(1-$F$80)+H92</f>
        <v>1577.90192259</v>
      </c>
      <c r="I93" s="97" t="n">
        <f aca="false">H93*(1-$F$80)+I92</f>
        <v>1817.2789310847</v>
      </c>
      <c r="J93" s="97" t="n">
        <f aca="false">I93*(1-$F$80)+J92</f>
        <v>2058.83437205585</v>
      </c>
      <c r="K93" s="97" t="n">
        <f aca="false">J93*(1-$F$80)+K92</f>
        <v>2305.28827933204</v>
      </c>
      <c r="L93" s="97" t="n">
        <f aca="false">K93*(1-$F$80)+L92</f>
        <v>2559.19642556356</v>
      </c>
      <c r="M93" s="97" t="n">
        <f aca="false">L93*(1-$F$80)+M92</f>
        <v>2822.99446091086</v>
      </c>
      <c r="N93" s="97" t="n">
        <f aca="false">M93*(1-$F$80)+N92</f>
        <v>3099.03699089062</v>
      </c>
      <c r="O93" s="97" t="n">
        <f aca="false">N93*(1-$F$80)+O92</f>
        <v>3389.63247730272</v>
      </c>
      <c r="P93" s="97" t="n">
        <f aca="false">O93*(1-$F$80)+P92</f>
        <v>3697.07472355666</v>
      </c>
      <c r="Q93" s="97" t="n">
        <f aca="false">P93*(1-$F$80)+Q92</f>
        <v>4023.67160230046</v>
      </c>
      <c r="R93" s="97" t="n">
        <f aca="false">Q93*(1-$F$80)+R92</f>
        <v>4371.77159621487</v>
      </c>
      <c r="S93" s="97" t="n">
        <f aca="false">R93*(1-$F$80)+S92</f>
        <v>4743.78864978288</v>
      </c>
      <c r="T93" s="97" t="n">
        <f aca="false">S93*(1-$F$80)+T92</f>
        <v>5142.22576875571</v>
      </c>
      <c r="U93" s="97" t="n">
        <f aca="false">T93*(1-$F$80)+U92</f>
        <v>5569.69775319783</v>
      </c>
      <c r="V93" s="97" t="n">
        <f aca="false">U93*(1-$F$80)+V92</f>
        <v>6028.95340795408</v>
      </c>
      <c r="W93" s="97" t="n">
        <f aca="false">V93*(1-$F$80)+W92</f>
        <v>6522.89753991576</v>
      </c>
      <c r="X93" s="97" t="n">
        <f aca="false">W93*(1-$F$80)+X92</f>
        <v>7054.61302353557</v>
      </c>
      <c r="Y93" s="97" t="n">
        <f aca="false">X93*(1-$F$80)+Y92</f>
        <v>7627.38319378098</v>
      </c>
      <c r="Z93" s="97" t="n">
        <f aca="false">Y93*(1-$F$80)+Z92</f>
        <v>8244.71480839165</v>
      </c>
    </row>
    <row r="94" customFormat="false" ht="15" hidden="true" customHeight="true" outlineLevel="1" collapsed="false">
      <c r="A94" s="95" t="s">
        <v>449</v>
      </c>
      <c r="B94" s="96" t="n">
        <f aca="false">-$I$80</f>
        <v>-400000000</v>
      </c>
      <c r="C94" s="96" t="n">
        <f aca="false">C93*($B$80-$C$80)-C92*$G$80-$H$80</f>
        <v>-292559897.952</v>
      </c>
      <c r="D94" s="96" t="n">
        <f aca="false">D93*($B$80-$C$80)-D92*$G$80-$H$80</f>
        <v>-274540603.04736</v>
      </c>
      <c r="E94" s="96" t="n">
        <f aca="false">E93*($B$80-$C$80)-E92*$G$80-$H$80</f>
        <v>-259853377.561469</v>
      </c>
      <c r="F94" s="96" t="n">
        <f aca="false">F93*($B$80-$C$80)-F92*$G$80-$H$80</f>
        <v>-248048745.096158</v>
      </c>
      <c r="G94" s="96" t="n">
        <f aca="false">G93*($B$80-$C$80)-G92*$G$80-$H$80</f>
        <v>-238748677.434157</v>
      </c>
      <c r="H94" s="96" t="n">
        <f aca="false">H93*($B$80-$C$80)-H92*$G$80-$H$80</f>
        <v>-231636199.44965</v>
      </c>
      <c r="I94" s="96" t="n">
        <f aca="false">I93*($B$80-$C$80)-I92*$G$80-$H$80</f>
        <v>-226446579.053268</v>
      </c>
      <c r="J94" s="96" t="n">
        <f aca="false">J93*($B$80-$C$80)-J92*$G$80-$H$80</f>
        <v>-222959866.478029</v>
      </c>
      <c r="K94" s="96" t="n">
        <f aca="false">K93*($B$80-$C$80)-K92*$G$80-$H$80</f>
        <v>-220994582.731696</v>
      </c>
      <c r="L94" s="96" t="n">
        <f aca="false">L93*($B$80-$C$80)-L92*$G$80-$H$80</f>
        <v>-220402387.245342</v>
      </c>
      <c r="M94" s="96" t="n">
        <f aca="false">M93*($B$80-$C$80)-M92*$G$80-$H$80</f>
        <v>-221063580.435814</v>
      </c>
      <c r="N94" s="96" t="n">
        <f aca="false">N93*($B$80-$C$80)-N92*$G$80-$H$80</f>
        <v>-222883318.749896</v>
      </c>
      <c r="O94" s="96" t="n">
        <f aca="false">O93*($B$80-$C$80)-O92*$G$80-$H$80</f>
        <v>-225788438.347223</v>
      </c>
      <c r="P94" s="96" t="n">
        <f aca="false">P93*($B$80-$C$80)-P92*$G$80-$H$80</f>
        <v>-229724799.397735</v>
      </c>
      <c r="Q94" s="96" t="n">
        <f aca="false">Q93*($B$80-$C$80)-Q92*$G$80-$H$80</f>
        <v>-234655076.434879</v>
      </c>
      <c r="R94" s="96" t="n">
        <f aca="false">R93*($B$80-$C$80)-R92*$G$80-$H$80</f>
        <v>-240556931.672195</v>
      </c>
      <c r="S94" s="96" t="n">
        <f aca="false">S93*($B$80-$C$80)-S92*$G$80-$H$80</f>
        <v>-247421517.960117</v>
      </c>
      <c r="T94" s="96" t="n">
        <f aca="false">T93*($B$80-$C$80)-T92*$G$80-$H$80</f>
        <v>-255252266.387952</v>
      </c>
      <c r="U94" s="96" t="n">
        <f aca="false">U93*($B$80-$C$80)-U92*$G$80-$H$80</f>
        <v>-264063920.641359</v>
      </c>
      <c r="V94" s="96" t="n">
        <f aca="false">V93*($B$80-$C$80)-V92*$G$80-$H$80</f>
        <v>-273881786.293683</v>
      </c>
      <c r="W94" s="96" t="n">
        <f aca="false">W93*($B$80-$C$80)-W92*$G$80-$H$80</f>
        <v>-284741168.398041</v>
      </c>
      <c r="X94" s="96" t="n">
        <f aca="false">X93*($B$80-$C$80)-X92*$G$80-$H$80</f>
        <v>-296686975.190618</v>
      </c>
      <c r="Y94" s="96" t="n">
        <f aca="false">Y93*($B$80-$C$80)-Y92*$G$80-$H$80</f>
        <v>-309773469.528491</v>
      </c>
      <c r="Z94" s="96" t="n">
        <f aca="false">Z93*($B$80-$C$80)-Z92*$G$80-$H$80</f>
        <v>-324064152.965</v>
      </c>
    </row>
    <row r="95" customFormat="false" ht="15" hidden="true" customHeight="true" outlineLevel="1" collapsed="false">
      <c r="A95" s="95" t="s">
        <v>450</v>
      </c>
      <c r="B95" s="96" t="n">
        <f aca="false">$J$80+B94</f>
        <v>1100000000</v>
      </c>
      <c r="C95" s="96" t="n">
        <f aca="false">B95+C94</f>
        <v>807440102.048</v>
      </c>
      <c r="D95" s="96" t="n">
        <f aca="false">C95+D94</f>
        <v>532899499.00064</v>
      </c>
      <c r="E95" s="96" t="n">
        <f aca="false">D95+E94</f>
        <v>273046121.439171</v>
      </c>
      <c r="F95" s="96" t="n">
        <f aca="false">E95+F94</f>
        <v>24997376.3430128</v>
      </c>
      <c r="G95" s="96" t="n">
        <f aca="false">F95+G94</f>
        <v>-213751301.091144</v>
      </c>
      <c r="H95" s="96" t="n">
        <f aca="false">G95+H94</f>
        <v>-445387500.540795</v>
      </c>
      <c r="I95" s="96" t="n">
        <f aca="false">H95+I94</f>
        <v>-671834079.594063</v>
      </c>
      <c r="J95" s="96" t="n">
        <f aca="false">I95+J94</f>
        <v>-894793946.072092</v>
      </c>
      <c r="K95" s="96" t="n">
        <f aca="false">J95+K94</f>
        <v>-1115788528.80379</v>
      </c>
      <c r="L95" s="96" t="n">
        <f aca="false">K95+L94</f>
        <v>-1336190916.04913</v>
      </c>
      <c r="M95" s="96" t="n">
        <f aca="false">L95+M94</f>
        <v>-1557254496.48494</v>
      </c>
      <c r="N95" s="96" t="n">
        <f aca="false">M95+N94</f>
        <v>-1780137815.23484</v>
      </c>
      <c r="O95" s="96" t="n">
        <f aca="false">N95+O94</f>
        <v>-2005926253.58206</v>
      </c>
      <c r="P95" s="96" t="n">
        <f aca="false">O95+P94</f>
        <v>-2235651052.9798</v>
      </c>
      <c r="Q95" s="96" t="n">
        <f aca="false">P95+Q94</f>
        <v>-2470306129.41468</v>
      </c>
      <c r="R95" s="96" t="n">
        <f aca="false">Q95+R94</f>
        <v>-2710863061.08687</v>
      </c>
      <c r="S95" s="96" t="n">
        <f aca="false">R95+S94</f>
        <v>-2958284579.04699</v>
      </c>
      <c r="T95" s="96" t="n">
        <f aca="false">S95+T94</f>
        <v>-3213536845.43494</v>
      </c>
      <c r="U95" s="96" t="n">
        <f aca="false">T95+U94</f>
        <v>-3477600766.0763</v>
      </c>
      <c r="V95" s="96" t="n">
        <f aca="false">U95+V94</f>
        <v>-3751482552.36998</v>
      </c>
      <c r="W95" s="96" t="n">
        <f aca="false">V95+W94</f>
        <v>-4036223720.76802</v>
      </c>
      <c r="X95" s="96" t="n">
        <f aca="false">W95+X94</f>
        <v>-4332910695.95864</v>
      </c>
      <c r="Y95" s="96" t="n">
        <f aca="false">X95+Y94</f>
        <v>-4642684165.48713</v>
      </c>
      <c r="Z95" s="96" t="n">
        <f aca="false">Y95+Z94</f>
        <v>-4966748318.45213</v>
      </c>
    </row>
    <row r="96" customFormat="false" ht="15" hidden="true" customHeight="true" outlineLevel="1" collapsed="false">
      <c r="A96" s="95" t="s">
        <v>451</v>
      </c>
      <c r="B96" s="96" t="n">
        <f aca="false">B94</f>
        <v>-400000000</v>
      </c>
      <c r="C96" s="96" t="n">
        <f aca="false">B96+C94</f>
        <v>-692559897.952</v>
      </c>
      <c r="D96" s="96" t="n">
        <f aca="false">C96+D94</f>
        <v>-967100500.99936</v>
      </c>
      <c r="E96" s="96" t="n">
        <f aca="false">D96+E94</f>
        <v>-1226953878.56083</v>
      </c>
      <c r="F96" s="96" t="n">
        <f aca="false">E96+F94</f>
        <v>-1475002623.65699</v>
      </c>
      <c r="G96" s="96" t="n">
        <f aca="false">F96+G94</f>
        <v>-1713751301.09114</v>
      </c>
      <c r="H96" s="96" t="n">
        <f aca="false">G96+H94</f>
        <v>-1945387500.54079</v>
      </c>
      <c r="I96" s="96" t="n">
        <f aca="false">H96+I94</f>
        <v>-2171834079.59406</v>
      </c>
      <c r="J96" s="96" t="n">
        <f aca="false">I96+J94</f>
        <v>-2394793946.07209</v>
      </c>
      <c r="K96" s="96" t="n">
        <f aca="false">J96+K94</f>
        <v>-2615788528.80379</v>
      </c>
      <c r="L96" s="96" t="n">
        <f aca="false">K96+L94</f>
        <v>-2836190916.04913</v>
      </c>
      <c r="M96" s="96" t="n">
        <f aca="false">L96+M94</f>
        <v>-3057254496.48494</v>
      </c>
      <c r="N96" s="96" t="n">
        <f aca="false">M96+N94</f>
        <v>-3280137815.23484</v>
      </c>
      <c r="O96" s="96" t="n">
        <f aca="false">N96+O94</f>
        <v>-3505926253.58206</v>
      </c>
      <c r="P96" s="96" t="n">
        <f aca="false">O96+P94</f>
        <v>-3735651052.9798</v>
      </c>
      <c r="Q96" s="96" t="n">
        <f aca="false">P96+Q94</f>
        <v>-3970306129.41468</v>
      </c>
      <c r="R96" s="96" t="n">
        <f aca="false">Q96+R94</f>
        <v>-4210863061.08687</v>
      </c>
      <c r="S96" s="96" t="n">
        <f aca="false">R96+S94</f>
        <v>-4458284579.04699</v>
      </c>
      <c r="T96" s="96" t="n">
        <f aca="false">S96+T94</f>
        <v>-4713536845.43494</v>
      </c>
      <c r="U96" s="96" t="n">
        <f aca="false">T96+U94</f>
        <v>-4977600766.0763</v>
      </c>
      <c r="V96" s="96" t="n">
        <f aca="false">U96+V94</f>
        <v>-5251482552.36998</v>
      </c>
      <c r="W96" s="96" t="n">
        <f aca="false">V96+W94</f>
        <v>-5536223720.76803</v>
      </c>
      <c r="X96" s="96" t="n">
        <f aca="false">W96+X94</f>
        <v>-5832910695.95864</v>
      </c>
      <c r="Y96" s="96" t="n">
        <f aca="false">X96+Y94</f>
        <v>-6142684165.48713</v>
      </c>
      <c r="Z96" s="96" t="n">
        <f aca="false">Y96+Z94</f>
        <v>-6466748318.45213</v>
      </c>
    </row>
    <row r="97" customFormat="false" ht="15" hidden="true" customHeight="true" outlineLevel="1" collapsed="false"/>
    <row r="98" customFormat="false" ht="15" hidden="true" customHeight="true" outlineLevel="1" collapsed="false">
      <c r="A98" s="95" t="s">
        <v>452</v>
      </c>
      <c r="C98" s="97" t="n">
        <f aca="false">$D$81*(1+$E$81)^0</f>
        <v>300</v>
      </c>
      <c r="D98" s="97" t="n">
        <f aca="false">$D$81*(1+$E$81)^1</f>
        <v>324</v>
      </c>
      <c r="E98" s="97" t="n">
        <f aca="false">$D$81*(1+$E$81)^2</f>
        <v>349.92</v>
      </c>
      <c r="F98" s="97" t="n">
        <f aca="false">$D$81*(1+$E$81)^3</f>
        <v>377.9136</v>
      </c>
      <c r="G98" s="97" t="n">
        <f aca="false">$D$81*(1+$E$81)^4</f>
        <v>408.146688</v>
      </c>
      <c r="H98" s="97" t="n">
        <f aca="false">$D$81*(1+$E$81)^5</f>
        <v>440.79842304</v>
      </c>
      <c r="I98" s="97" t="n">
        <f aca="false">$D$81*(1+$E$81)^6</f>
        <v>476.0622968832</v>
      </c>
      <c r="J98" s="97" t="n">
        <f aca="false">$D$81*(1+$E$81)^7</f>
        <v>514.147280633856</v>
      </c>
      <c r="K98" s="97" t="n">
        <f aca="false">$D$81*(1+$E$81)^8</f>
        <v>555.279063084565</v>
      </c>
      <c r="L98" s="97" t="n">
        <f aca="false">$D$81*(1+$E$81)^9</f>
        <v>599.70138813133</v>
      </c>
      <c r="M98" s="97" t="n">
        <f aca="false">$D$81*(1+$E$81)^10</f>
        <v>647.677499181836</v>
      </c>
      <c r="N98" s="97" t="n">
        <f aca="false">$D$81*(1+$E$81)^11</f>
        <v>699.491699116383</v>
      </c>
      <c r="O98" s="97" t="n">
        <f aca="false">$D$81*(1+$E$81)^12</f>
        <v>755.451035045694</v>
      </c>
      <c r="P98" s="97" t="n">
        <f aca="false">$D$81*(1+$E$81)^13</f>
        <v>815.88711784935</v>
      </c>
      <c r="Q98" s="97" t="n">
        <f aca="false">$D$81*(1+$E$81)^14</f>
        <v>881.158087277298</v>
      </c>
      <c r="R98" s="97" t="n">
        <f aca="false">$D$81*(1+$E$81)^15</f>
        <v>951.650734259482</v>
      </c>
      <c r="S98" s="97" t="n">
        <f aca="false">$D$81*(1+$E$81)^16</f>
        <v>1027.78279300024</v>
      </c>
      <c r="T98" s="97" t="n">
        <f aca="false">$D$81*(1+$E$81)^17</f>
        <v>1110.00541644026</v>
      </c>
      <c r="U98" s="97" t="n">
        <f aca="false">$D$81*(1+$E$81)^18</f>
        <v>1198.80584975548</v>
      </c>
      <c r="V98" s="97" t="n">
        <f aca="false">$D$81*(1+$E$81)^19</f>
        <v>1294.71031773592</v>
      </c>
      <c r="W98" s="97" t="n">
        <f aca="false">$D$81*(1+$E$81)^20</f>
        <v>1398.28714315479</v>
      </c>
      <c r="X98" s="97" t="n">
        <f aca="false">$D$81*(1+$E$81)^21</f>
        <v>1510.15011460718</v>
      </c>
      <c r="Y98" s="97" t="n">
        <f aca="false">$D$81*(1+$E$81)^22</f>
        <v>1630.96212377575</v>
      </c>
      <c r="Z98" s="97" t="n">
        <f aca="false">$D$81*(1+$E$81)^23</f>
        <v>1761.43909367781</v>
      </c>
    </row>
    <row r="99" customFormat="false" ht="15" hidden="true" customHeight="true" outlineLevel="1" collapsed="false">
      <c r="A99" s="95" t="s">
        <v>453</v>
      </c>
      <c r="B99" s="95" t="n">
        <v>0</v>
      </c>
      <c r="C99" s="97" t="n">
        <f aca="false">B99*(1-$F$81)+C98</f>
        <v>300</v>
      </c>
      <c r="D99" s="97" t="n">
        <f aca="false">C99*(1-$F$81)+D98</f>
        <v>579</v>
      </c>
      <c r="E99" s="97" t="n">
        <f aca="false">D99*(1-$F$81)+E98</f>
        <v>842.07</v>
      </c>
      <c r="F99" s="97" t="n">
        <f aca="false">E99*(1-$F$81)+F98</f>
        <v>1093.6731</v>
      </c>
      <c r="G99" s="97" t="n">
        <f aca="false">F99*(1-$F$81)+G98</f>
        <v>1337.768823</v>
      </c>
      <c r="H99" s="97" t="n">
        <f aca="false">G99*(1-$F$81)+H98</f>
        <v>1577.90192259</v>
      </c>
      <c r="I99" s="97" t="n">
        <f aca="false">H99*(1-$F$81)+I98</f>
        <v>1817.2789310847</v>
      </c>
      <c r="J99" s="97" t="n">
        <f aca="false">I99*(1-$F$81)+J98</f>
        <v>2058.83437205585</v>
      </c>
      <c r="K99" s="97" t="n">
        <f aca="false">J99*(1-$F$81)+K98</f>
        <v>2305.28827933204</v>
      </c>
      <c r="L99" s="97" t="n">
        <f aca="false">K99*(1-$F$81)+L98</f>
        <v>2559.19642556356</v>
      </c>
      <c r="M99" s="97" t="n">
        <f aca="false">L99*(1-$F$81)+M98</f>
        <v>2822.99446091086</v>
      </c>
      <c r="N99" s="97" t="n">
        <f aca="false">M99*(1-$F$81)+N98</f>
        <v>3099.03699089062</v>
      </c>
      <c r="O99" s="97" t="n">
        <f aca="false">N99*(1-$F$81)+O98</f>
        <v>3389.63247730272</v>
      </c>
      <c r="P99" s="97" t="n">
        <f aca="false">O99*(1-$F$81)+P98</f>
        <v>3697.07472355666</v>
      </c>
      <c r="Q99" s="97" t="n">
        <f aca="false">P99*(1-$F$81)+Q98</f>
        <v>4023.67160230046</v>
      </c>
      <c r="R99" s="97" t="n">
        <f aca="false">Q99*(1-$F$81)+R98</f>
        <v>4371.77159621487</v>
      </c>
      <c r="S99" s="97" t="n">
        <f aca="false">R99*(1-$F$81)+S98</f>
        <v>4743.78864978288</v>
      </c>
      <c r="T99" s="97" t="n">
        <f aca="false">S99*(1-$F$81)+T98</f>
        <v>5142.22576875571</v>
      </c>
      <c r="U99" s="97" t="n">
        <f aca="false">T99*(1-$F$81)+U98</f>
        <v>5569.69775319783</v>
      </c>
      <c r="V99" s="97" t="n">
        <f aca="false">U99*(1-$F$81)+V98</f>
        <v>6028.95340795408</v>
      </c>
      <c r="W99" s="97" t="n">
        <f aca="false">V99*(1-$F$81)+W98</f>
        <v>6522.89753991576</v>
      </c>
      <c r="X99" s="97" t="n">
        <f aca="false">W99*(1-$F$81)+X98</f>
        <v>7054.61302353557</v>
      </c>
      <c r="Y99" s="97" t="n">
        <f aca="false">X99*(1-$F$81)+Y98</f>
        <v>7627.38319378098</v>
      </c>
      <c r="Z99" s="97" t="n">
        <f aca="false">Y99*(1-$F$81)+Z98</f>
        <v>8244.71480839165</v>
      </c>
    </row>
    <row r="100" customFormat="false" ht="15" hidden="true" customHeight="true" outlineLevel="1" collapsed="false">
      <c r="A100" s="95" t="s">
        <v>454</v>
      </c>
      <c r="B100" s="96" t="n">
        <f aca="false">-$I$81</f>
        <v>-400000000</v>
      </c>
      <c r="C100" s="96" t="n">
        <f aca="false">C99*($B$81-$C$81)-C98*$G$81-$H$81</f>
        <v>-300929897.952</v>
      </c>
      <c r="D100" s="96" t="n">
        <f aca="false">D99*($B$81-$C$81)-D98*$G$81-$H$81</f>
        <v>-290694703.04736</v>
      </c>
      <c r="E100" s="96" t="n">
        <f aca="false">E99*($B$81-$C$81)-E98*$G$81-$H$81</f>
        <v>-283347130.561469</v>
      </c>
      <c r="F100" s="96" t="n">
        <f aca="false">F99*($B$81-$C$81)-F98*$G$81-$H$81</f>
        <v>-278562224.586158</v>
      </c>
      <c r="G100" s="96" t="n">
        <f aca="false">G99*($B$81-$C$81)-G98*$G$81-$H$81</f>
        <v>-276072427.595857</v>
      </c>
      <c r="H100" s="96" t="n">
        <f aca="false">H99*($B$81-$C$81)-H98*$G$81-$H$81</f>
        <v>-275659663.089911</v>
      </c>
      <c r="I100" s="96" t="n">
        <f aca="false">I99*($B$81-$C$81)-I98*$G$81-$H$81</f>
        <v>-277148661.230531</v>
      </c>
      <c r="J100" s="96" t="n">
        <f aca="false">J99*($B$81-$C$81)-J98*$G$81-$H$81</f>
        <v>-280401345.458387</v>
      </c>
      <c r="K100" s="96" t="n">
        <f aca="false">K99*($B$81-$C$81)-K98*$G$81-$H$81</f>
        <v>-285312125.72506</v>
      </c>
      <c r="L100" s="96" t="n">
        <f aca="false">L99*($B$81-$C$81)-L98*$G$81-$H$81</f>
        <v>-291803967.518566</v>
      </c>
      <c r="M100" s="96" t="n">
        <f aca="false">M99*($B$81-$C$81)-M98*$G$81-$H$81</f>
        <v>-299825125.895227</v>
      </c>
      <c r="N100" s="96" t="n">
        <f aca="false">N99*($B$81-$C$81)-N98*$G$81-$H$81</f>
        <v>-309346450.795745</v>
      </c>
      <c r="O100" s="96" t="n">
        <f aca="false">O99*($B$81-$C$81)-O98*$G$81-$H$81</f>
        <v>-320359184.463969</v>
      </c>
      <c r="P100" s="96" t="n">
        <f aca="false">P99*($B$81-$C$81)-P98*$G$81-$H$81</f>
        <v>-332873184.184966</v>
      </c>
      <c r="Q100" s="96" t="n">
        <f aca="false">Q99*($B$81-$C$81)-Q98*$G$81-$H$81</f>
        <v>-346915514.139062</v>
      </c>
      <c r="R100" s="96" t="n">
        <f aca="false">R99*($B$81-$C$81)-R98*$G$81-$H$81</f>
        <v>-362529359.20659</v>
      </c>
      <c r="S100" s="96" t="n">
        <f aca="false">S99*($B$81-$C$81)-S98*$G$81-$H$81</f>
        <v>-379773221.28906</v>
      </c>
      <c r="T100" s="96" t="n">
        <f aca="false">T99*($B$81-$C$81)-T98*$G$81-$H$81</f>
        <v>-398720365.336236</v>
      </c>
      <c r="U100" s="96" t="n">
        <f aca="false">U99*($B$81-$C$81)-U98*$G$81-$H$81</f>
        <v>-419458487.955579</v>
      </c>
      <c r="V100" s="96" t="n">
        <f aca="false">V99*($B$81-$C$81)-V98*$G$81-$H$81</f>
        <v>-442089586.375602</v>
      </c>
      <c r="W100" s="96" t="n">
        <f aca="false">W99*($B$81-$C$81)-W98*$G$81-$H$81</f>
        <v>-466730009.761691</v>
      </c>
      <c r="X100" s="96" t="n">
        <f aca="false">X99*($B$81-$C$81)-X98*$G$81-$H$81</f>
        <v>-493510678.54726</v>
      </c>
      <c r="Y100" s="96" t="n">
        <f aca="false">Y99*($B$81-$C$81)-Y98*$G$81-$H$81</f>
        <v>-522577460.634981</v>
      </c>
      <c r="Z100" s="96" t="n">
        <f aca="false">Z99*($B$81-$C$81)-Z98*$G$81-$H$81</f>
        <v>-554091696.119127</v>
      </c>
    </row>
    <row r="101" customFormat="false" ht="15" hidden="true" customHeight="true" outlineLevel="1" collapsed="false">
      <c r="A101" s="95" t="s">
        <v>455</v>
      </c>
      <c r="B101" s="96" t="n">
        <f aca="false">$J$81+B100</f>
        <v>1100000000</v>
      </c>
      <c r="C101" s="96" t="n">
        <f aca="false">B101+C100</f>
        <v>799070102.048</v>
      </c>
      <c r="D101" s="96" t="n">
        <f aca="false">C101+D100</f>
        <v>508375399.00064</v>
      </c>
      <c r="E101" s="96" t="n">
        <f aca="false">D101+E100</f>
        <v>225028268.439171</v>
      </c>
      <c r="F101" s="96" t="n">
        <f aca="false">E101+F100</f>
        <v>-53533956.1469872</v>
      </c>
      <c r="G101" s="96" t="n">
        <f aca="false">F101+G100</f>
        <v>-329606383.742844</v>
      </c>
      <c r="H101" s="96" t="n">
        <f aca="false">G101+H100</f>
        <v>-605266046.832756</v>
      </c>
      <c r="I101" s="96" t="n">
        <f aca="false">H101+I100</f>
        <v>-882414708.063287</v>
      </c>
      <c r="J101" s="96" t="n">
        <f aca="false">I101+J100</f>
        <v>-1162816053.52167</v>
      </c>
      <c r="K101" s="96" t="n">
        <f aca="false">J101+K100</f>
        <v>-1448128179.24673</v>
      </c>
      <c r="L101" s="96" t="n">
        <f aca="false">K101+L100</f>
        <v>-1739932146.7653</v>
      </c>
      <c r="M101" s="96" t="n">
        <f aca="false">L101+M100</f>
        <v>-2039757272.66053</v>
      </c>
      <c r="N101" s="96" t="n">
        <f aca="false">M101+N100</f>
        <v>-2349103723.45627</v>
      </c>
      <c r="O101" s="96" t="n">
        <f aca="false">N101+O100</f>
        <v>-2669462907.92024</v>
      </c>
      <c r="P101" s="96" t="n">
        <f aca="false">O101+P100</f>
        <v>-3002336092.10521</v>
      </c>
      <c r="Q101" s="96" t="n">
        <f aca="false">P101+Q100</f>
        <v>-3349251606.24427</v>
      </c>
      <c r="R101" s="96" t="n">
        <f aca="false">Q101+R100</f>
        <v>-3711780965.45086</v>
      </c>
      <c r="S101" s="96" t="n">
        <f aca="false">R101+S100</f>
        <v>-4091554186.73992</v>
      </c>
      <c r="T101" s="96" t="n">
        <f aca="false">S101+T100</f>
        <v>-4490274552.07615</v>
      </c>
      <c r="U101" s="96" t="n">
        <f aca="false">T101+U100</f>
        <v>-4909733040.03173</v>
      </c>
      <c r="V101" s="96" t="n">
        <f aca="false">U101+V100</f>
        <v>-5351822626.40733</v>
      </c>
      <c r="W101" s="96" t="n">
        <f aca="false">V101+W100</f>
        <v>-5818552636.16903</v>
      </c>
      <c r="X101" s="96" t="n">
        <f aca="false">W101+X100</f>
        <v>-6312063314.71629</v>
      </c>
      <c r="Y101" s="96" t="n">
        <f aca="false">X101+Y100</f>
        <v>-6834640775.35127</v>
      </c>
      <c r="Z101" s="96" t="n">
        <f aca="false">Y101+Z100</f>
        <v>-7388732471.47039</v>
      </c>
    </row>
    <row r="102" customFormat="false" ht="15" hidden="true" customHeight="true" outlineLevel="1" collapsed="false">
      <c r="A102" s="95" t="s">
        <v>456</v>
      </c>
      <c r="B102" s="96" t="n">
        <f aca="false">B100</f>
        <v>-400000000</v>
      </c>
      <c r="C102" s="96" t="n">
        <f aca="false">B102+C100</f>
        <v>-700929897.952</v>
      </c>
      <c r="D102" s="96" t="n">
        <f aca="false">C102+D100</f>
        <v>-991624600.99936</v>
      </c>
      <c r="E102" s="96" t="n">
        <f aca="false">D102+E100</f>
        <v>-1274971731.56083</v>
      </c>
      <c r="F102" s="96" t="n">
        <f aca="false">E102+F100</f>
        <v>-1553533956.14699</v>
      </c>
      <c r="G102" s="96" t="n">
        <f aca="false">F102+G100</f>
        <v>-1829606383.74284</v>
      </c>
      <c r="H102" s="96" t="n">
        <f aca="false">G102+H100</f>
        <v>-2105266046.83276</v>
      </c>
      <c r="I102" s="96" t="n">
        <f aca="false">H102+I100</f>
        <v>-2382414708.06329</v>
      </c>
      <c r="J102" s="96" t="n">
        <f aca="false">I102+J100</f>
        <v>-2662816053.52167</v>
      </c>
      <c r="K102" s="96" t="n">
        <f aca="false">J102+K100</f>
        <v>-2948128179.24673</v>
      </c>
      <c r="L102" s="96" t="n">
        <f aca="false">K102+L100</f>
        <v>-3239932146.7653</v>
      </c>
      <c r="M102" s="96" t="n">
        <f aca="false">L102+M100</f>
        <v>-3539757272.66053</v>
      </c>
      <c r="N102" s="96" t="n">
        <f aca="false">M102+N100</f>
        <v>-3849103723.45627</v>
      </c>
      <c r="O102" s="96" t="n">
        <f aca="false">N102+O100</f>
        <v>-4169462907.92024</v>
      </c>
      <c r="P102" s="96" t="n">
        <f aca="false">O102+P100</f>
        <v>-4502336092.10521</v>
      </c>
      <c r="Q102" s="96" t="n">
        <f aca="false">P102+Q100</f>
        <v>-4849251606.24427</v>
      </c>
      <c r="R102" s="96" t="n">
        <f aca="false">Q102+R100</f>
        <v>-5211780965.45086</v>
      </c>
      <c r="S102" s="96" t="n">
        <f aca="false">R102+S100</f>
        <v>-5591554186.73992</v>
      </c>
      <c r="T102" s="96" t="n">
        <f aca="false">S102+T100</f>
        <v>-5990274552.07615</v>
      </c>
      <c r="U102" s="96" t="n">
        <f aca="false">T102+U100</f>
        <v>-6409733040.03173</v>
      </c>
      <c r="V102" s="96" t="n">
        <f aca="false">U102+V100</f>
        <v>-6851822626.40733</v>
      </c>
      <c r="W102" s="96" t="n">
        <f aca="false">V102+W100</f>
        <v>-7318552636.16903</v>
      </c>
      <c r="X102" s="96" t="n">
        <f aca="false">W102+X100</f>
        <v>-7812063314.71629</v>
      </c>
      <c r="Y102" s="96" t="n">
        <f aca="false">X102+Y100</f>
        <v>-8334640775.35127</v>
      </c>
      <c r="Z102" s="96" t="n">
        <f aca="false">Y102+Z100</f>
        <v>-8888732471.47039</v>
      </c>
    </row>
    <row r="103" customFormat="false" ht="15" hidden="true" customHeight="true" outlineLevel="1" collapsed="false"/>
    <row r="104" customFormat="false" ht="15" hidden="true" customHeight="true" outlineLevel="1" collapsed="false">
      <c r="A104" s="95" t="s">
        <v>457</v>
      </c>
      <c r="C104" s="97" t="n">
        <f aca="false">$D$82*(1+$E$82)^0</f>
        <v>300</v>
      </c>
      <c r="D104" s="97" t="n">
        <f aca="false">$D$82*(1+$E$82)^1</f>
        <v>324</v>
      </c>
      <c r="E104" s="97" t="n">
        <f aca="false">$D$82*(1+$E$82)^2</f>
        <v>349.92</v>
      </c>
      <c r="F104" s="97" t="n">
        <f aca="false">$D$82*(1+$E$82)^3</f>
        <v>377.9136</v>
      </c>
      <c r="G104" s="97" t="n">
        <f aca="false">$D$82*(1+$E$82)^4</f>
        <v>408.146688</v>
      </c>
      <c r="H104" s="97" t="n">
        <f aca="false">$D$82*(1+$E$82)^5</f>
        <v>440.79842304</v>
      </c>
      <c r="I104" s="97" t="n">
        <f aca="false">$D$82*(1+$E$82)^6</f>
        <v>476.0622968832</v>
      </c>
      <c r="J104" s="97" t="n">
        <f aca="false">$D$82*(1+$E$82)^7</f>
        <v>514.147280633856</v>
      </c>
      <c r="K104" s="97" t="n">
        <f aca="false">$D$82*(1+$E$82)^8</f>
        <v>555.279063084565</v>
      </c>
      <c r="L104" s="97" t="n">
        <f aca="false">$D$82*(1+$E$82)^9</f>
        <v>599.70138813133</v>
      </c>
      <c r="M104" s="97" t="n">
        <f aca="false">$D$82*(1+$E$82)^10</f>
        <v>647.677499181836</v>
      </c>
      <c r="N104" s="97" t="n">
        <f aca="false">$D$82*(1+$E$82)^11</f>
        <v>699.491699116383</v>
      </c>
      <c r="O104" s="97" t="n">
        <f aca="false">$D$82*(1+$E$82)^12</f>
        <v>755.451035045694</v>
      </c>
      <c r="P104" s="97" t="n">
        <f aca="false">$D$82*(1+$E$82)^13</f>
        <v>815.88711784935</v>
      </c>
      <c r="Q104" s="97" t="n">
        <f aca="false">$D$82*(1+$E$82)^14</f>
        <v>881.158087277298</v>
      </c>
      <c r="R104" s="97" t="n">
        <f aca="false">$D$82*(1+$E$82)^15</f>
        <v>951.650734259482</v>
      </c>
      <c r="S104" s="97" t="n">
        <f aca="false">$D$82*(1+$E$82)^16</f>
        <v>1027.78279300024</v>
      </c>
      <c r="T104" s="97" t="n">
        <f aca="false">$D$82*(1+$E$82)^17</f>
        <v>1110.00541644026</v>
      </c>
      <c r="U104" s="97" t="n">
        <f aca="false">$D$82*(1+$E$82)^18</f>
        <v>1198.80584975548</v>
      </c>
      <c r="V104" s="97" t="n">
        <f aca="false">$D$82*(1+$E$82)^19</f>
        <v>1294.71031773592</v>
      </c>
      <c r="W104" s="97" t="n">
        <f aca="false">$D$82*(1+$E$82)^20</f>
        <v>1398.28714315479</v>
      </c>
      <c r="X104" s="97" t="n">
        <f aca="false">$D$82*(1+$E$82)^21</f>
        <v>1510.15011460718</v>
      </c>
      <c r="Y104" s="97" t="n">
        <f aca="false">$D$82*(1+$E$82)^22</f>
        <v>1630.96212377575</v>
      </c>
      <c r="Z104" s="97" t="n">
        <f aca="false">$D$82*(1+$E$82)^23</f>
        <v>1761.43909367781</v>
      </c>
    </row>
    <row r="105" customFormat="false" ht="15" hidden="true" customHeight="true" outlineLevel="1" collapsed="false">
      <c r="A105" s="95" t="s">
        <v>458</v>
      </c>
      <c r="B105" s="95" t="n">
        <v>0</v>
      </c>
      <c r="C105" s="97" t="n">
        <f aca="false">B105*(1-$F$82)+C104</f>
        <v>300</v>
      </c>
      <c r="D105" s="97" t="n">
        <f aca="false">C105*(1-$F$82)+D104</f>
        <v>579</v>
      </c>
      <c r="E105" s="97" t="n">
        <f aca="false">D105*(1-$F$82)+E104</f>
        <v>842.07</v>
      </c>
      <c r="F105" s="97" t="n">
        <f aca="false">E105*(1-$F$82)+F104</f>
        <v>1093.6731</v>
      </c>
      <c r="G105" s="97" t="n">
        <f aca="false">F105*(1-$F$82)+G104</f>
        <v>1337.768823</v>
      </c>
      <c r="H105" s="97" t="n">
        <f aca="false">G105*(1-$F$82)+H104</f>
        <v>1577.90192259</v>
      </c>
      <c r="I105" s="97" t="n">
        <f aca="false">H105*(1-$F$82)+I104</f>
        <v>1817.2789310847</v>
      </c>
      <c r="J105" s="97" t="n">
        <f aca="false">I105*(1-$F$82)+J104</f>
        <v>2058.83437205585</v>
      </c>
      <c r="K105" s="97" t="n">
        <f aca="false">J105*(1-$F$82)+K104</f>
        <v>2305.28827933204</v>
      </c>
      <c r="L105" s="97" t="n">
        <f aca="false">K105*(1-$F$82)+L104</f>
        <v>2559.19642556356</v>
      </c>
      <c r="M105" s="97" t="n">
        <f aca="false">L105*(1-$F$82)+M104</f>
        <v>2822.99446091086</v>
      </c>
      <c r="N105" s="97" t="n">
        <f aca="false">M105*(1-$F$82)+N104</f>
        <v>3099.03699089062</v>
      </c>
      <c r="O105" s="97" t="n">
        <f aca="false">N105*(1-$F$82)+O104</f>
        <v>3389.63247730272</v>
      </c>
      <c r="P105" s="97" t="n">
        <f aca="false">O105*(1-$F$82)+P104</f>
        <v>3697.07472355666</v>
      </c>
      <c r="Q105" s="97" t="n">
        <f aca="false">P105*(1-$F$82)+Q104</f>
        <v>4023.67160230046</v>
      </c>
      <c r="R105" s="97" t="n">
        <f aca="false">Q105*(1-$F$82)+R104</f>
        <v>4371.77159621487</v>
      </c>
      <c r="S105" s="97" t="n">
        <f aca="false">R105*(1-$F$82)+S104</f>
        <v>4743.78864978288</v>
      </c>
      <c r="T105" s="97" t="n">
        <f aca="false">S105*(1-$F$82)+T104</f>
        <v>5142.22576875571</v>
      </c>
      <c r="U105" s="97" t="n">
        <f aca="false">T105*(1-$F$82)+U104</f>
        <v>5569.69775319783</v>
      </c>
      <c r="V105" s="97" t="n">
        <f aca="false">U105*(1-$F$82)+V104</f>
        <v>6028.95340795408</v>
      </c>
      <c r="W105" s="97" t="n">
        <f aca="false">V105*(1-$F$82)+W104</f>
        <v>6522.89753991576</v>
      </c>
      <c r="X105" s="97" t="n">
        <f aca="false">W105*(1-$F$82)+X104</f>
        <v>7054.61302353557</v>
      </c>
      <c r="Y105" s="97" t="n">
        <f aca="false">X105*(1-$F$82)+Y104</f>
        <v>7627.38319378098</v>
      </c>
      <c r="Z105" s="97" t="n">
        <f aca="false">Y105*(1-$F$82)+Z104</f>
        <v>8244.71480839165</v>
      </c>
    </row>
    <row r="106" customFormat="false" ht="15" hidden="true" customHeight="true" outlineLevel="1" collapsed="false">
      <c r="A106" s="95" t="s">
        <v>459</v>
      </c>
      <c r="B106" s="96" t="n">
        <f aca="false">-$I$82</f>
        <v>-400000000</v>
      </c>
      <c r="C106" s="96" t="n">
        <f aca="false">C105*($B$82-$C$82)-C104*$G$82-$H$82</f>
        <v>-293441877.5424</v>
      </c>
      <c r="D106" s="96" t="n">
        <f aca="false">D105*($B$82-$C$82)-D104*$G$82-$H$82</f>
        <v>-276242823.656832</v>
      </c>
      <c r="E106" s="96" t="n">
        <f aca="false">E105*($B$82-$C$82)-E104*$G$82-$H$82</f>
        <v>-262329006.073763</v>
      </c>
      <c r="F106" s="96" t="n">
        <f aca="false">F105*($B$82-$C$82)-F104*$G$82-$H$82</f>
        <v>-251264069.60539</v>
      </c>
      <c r="G106" s="96" t="n">
        <f aca="false">G105*($B$82-$C$82)-G104*$G$82-$H$82</f>
        <v>-242681626.762689</v>
      </c>
      <c r="H106" s="96" t="n">
        <f aca="false">H105*($B$82-$C$82)-H104*$G$82-$H$82</f>
        <v>-236275123.754241</v>
      </c>
      <c r="I106" s="96" t="n">
        <f aca="false">I105*($B$82-$C$82)-I104*$G$82-$H$82</f>
        <v>-231789255.477537</v>
      </c>
      <c r="J106" s="96" t="n">
        <f aca="false">J105*($B$82-$C$82)-J104*$G$82-$H$82</f>
        <v>-229012699.465253</v>
      </c>
      <c r="K106" s="96" t="n">
        <f aca="false">K105*($B$82-$C$82)-K104*$G$82-$H$82</f>
        <v>-227771973.43956</v>
      </c>
      <c r="L106" s="96" t="n">
        <f aca="false">L105*($B$82-$C$82)-L104*$G$82-$H$82</f>
        <v>-227926250.629248</v>
      </c>
      <c r="M106" s="96" t="n">
        <f aca="false">M105*($B$82-$C$82)-M104*$G$82-$H$82</f>
        <v>-229362992.096933</v>
      </c>
      <c r="N106" s="96" t="n">
        <f aca="false">N105*($B$82-$C$82)-N104*$G$82-$H$82</f>
        <v>-231994276.66943</v>
      </c>
      <c r="O106" s="96" t="n">
        <f aca="false">O105*($B$82-$C$82)-O104*$G$82-$H$82</f>
        <v>-235753727.227016</v>
      </c>
      <c r="P106" s="96" t="n">
        <f aca="false">P105*($B$82-$C$82)-P104*$G$82-$H$82</f>
        <v>-240593947.565604</v>
      </c>
      <c r="Q106" s="96" t="n">
        <f aca="false">Q105*($B$82-$C$82)-Q104*$G$82-$H$82</f>
        <v>-246484397.207216</v>
      </c>
      <c r="R106" s="96" t="n">
        <f aca="false">R105*($B$82-$C$82)-R104*$G$82-$H$82</f>
        <v>-253409642.744701</v>
      </c>
      <c r="S106" s="96" t="n">
        <f aca="false">S105*($B$82-$C$82)-S104*$G$82-$H$82</f>
        <v>-261367933.86105</v>
      </c>
      <c r="T106" s="96" t="n">
        <f aca="false">T105*($B$82-$C$82)-T104*$G$82-$H$82</f>
        <v>-270370060.31219</v>
      </c>
      <c r="U106" s="96" t="n">
        <f aca="false">U105*($B$82-$C$82)-U104*$G$82-$H$82</f>
        <v>-280438453.118083</v>
      </c>
      <c r="V106" s="96" t="n">
        <f aca="false">V105*($B$82-$C$82)-V104*$G$82-$H$82</f>
        <v>-291606499.15131</v>
      </c>
      <c r="W106" s="96" t="n">
        <f aca="false">W105*($B$82-$C$82)-W104*$G$82-$H$82</f>
        <v>-303918043.399628</v>
      </c>
      <c r="X106" s="96" t="n">
        <f aca="false">X105*($B$82-$C$82)-X104*$G$82-$H$82</f>
        <v>-317427057.540379</v>
      </c>
      <c r="Y106" s="96" t="n">
        <f aca="false">Y105*($B$82-$C$82)-Y104*$G$82-$H$82</f>
        <v>-332197457.212074</v>
      </c>
      <c r="Z106" s="96" t="n">
        <f aca="false">Z105*($B$82-$C$82)-Z104*$G$82-$H$82</f>
        <v>-348303053.597234</v>
      </c>
    </row>
    <row r="107" customFormat="false" ht="15" hidden="true" customHeight="true" outlineLevel="1" collapsed="false">
      <c r="A107" s="95" t="s">
        <v>460</v>
      </c>
      <c r="B107" s="96" t="n">
        <f aca="false">$J$82+B106</f>
        <v>1100000000</v>
      </c>
      <c r="C107" s="96" t="n">
        <f aca="false">B107+C106</f>
        <v>806558122.4576</v>
      </c>
      <c r="D107" s="96" t="n">
        <f aca="false">C107+D106</f>
        <v>530315298.800768</v>
      </c>
      <c r="E107" s="96" t="n">
        <f aca="false">D107+E106</f>
        <v>267986292.727005</v>
      </c>
      <c r="F107" s="96" t="n">
        <f aca="false">E107+F106</f>
        <v>16722223.1216154</v>
      </c>
      <c r="G107" s="96" t="n">
        <f aca="false">F107+G106</f>
        <v>-225959403.641073</v>
      </c>
      <c r="H107" s="96" t="n">
        <f aca="false">G107+H106</f>
        <v>-462234527.395314</v>
      </c>
      <c r="I107" s="96" t="n">
        <f aca="false">H107+I106</f>
        <v>-694023782.872851</v>
      </c>
      <c r="J107" s="96" t="n">
        <f aca="false">I107+J106</f>
        <v>-923036482.338105</v>
      </c>
      <c r="K107" s="96" t="n">
        <f aca="false">J107+K106</f>
        <v>-1150808455.77766</v>
      </c>
      <c r="L107" s="96" t="n">
        <f aca="false">K107+L106</f>
        <v>-1378734706.40691</v>
      </c>
      <c r="M107" s="96" t="n">
        <f aca="false">L107+M106</f>
        <v>-1608097698.50385</v>
      </c>
      <c r="N107" s="96" t="n">
        <f aca="false">M107+N106</f>
        <v>-1840091975.17328</v>
      </c>
      <c r="O107" s="96" t="n">
        <f aca="false">N107+O106</f>
        <v>-2075845702.40029</v>
      </c>
      <c r="P107" s="96" t="n">
        <f aca="false">O107+P106</f>
        <v>-2316439649.9659</v>
      </c>
      <c r="Q107" s="96" t="n">
        <f aca="false">P107+Q106</f>
        <v>-2562924047.17311</v>
      </c>
      <c r="R107" s="96" t="n">
        <f aca="false">Q107+R106</f>
        <v>-2816333689.91781</v>
      </c>
      <c r="S107" s="96" t="n">
        <f aca="false">R107+S106</f>
        <v>-3077701623.77886</v>
      </c>
      <c r="T107" s="96" t="n">
        <f aca="false">S107+T106</f>
        <v>-3348071684.09105</v>
      </c>
      <c r="U107" s="96" t="n">
        <f aca="false">T107+U106</f>
        <v>-3628510137.20914</v>
      </c>
      <c r="V107" s="96" t="n">
        <f aca="false">U107+V106</f>
        <v>-3920116636.36045</v>
      </c>
      <c r="W107" s="96" t="n">
        <f aca="false">V107+W106</f>
        <v>-4224034679.76007</v>
      </c>
      <c r="X107" s="96" t="n">
        <f aca="false">W107+X106</f>
        <v>-4541461737.30045</v>
      </c>
      <c r="Y107" s="96" t="n">
        <f aca="false">X107+Y106</f>
        <v>-4873659194.51253</v>
      </c>
      <c r="Z107" s="96" t="n">
        <f aca="false">Y107+Z106</f>
        <v>-5221962248.10976</v>
      </c>
    </row>
    <row r="108" customFormat="false" ht="15" hidden="true" customHeight="true" outlineLevel="1" collapsed="false">
      <c r="A108" s="95" t="s">
        <v>461</v>
      </c>
      <c r="B108" s="96" t="n">
        <f aca="false">B106</f>
        <v>-400000000</v>
      </c>
      <c r="C108" s="96" t="n">
        <f aca="false">B108+C106</f>
        <v>-693441877.5424</v>
      </c>
      <c r="D108" s="96" t="n">
        <f aca="false">C108+D106</f>
        <v>-969684701.199232</v>
      </c>
      <c r="E108" s="96" t="n">
        <f aca="false">D108+E106</f>
        <v>-1232013707.27299</v>
      </c>
      <c r="F108" s="96" t="n">
        <f aca="false">E108+F106</f>
        <v>-1483277776.87838</v>
      </c>
      <c r="G108" s="96" t="n">
        <f aca="false">F108+G106</f>
        <v>-1725959403.64107</v>
      </c>
      <c r="H108" s="96" t="n">
        <f aca="false">G108+H106</f>
        <v>-1962234527.39531</v>
      </c>
      <c r="I108" s="96" t="n">
        <f aca="false">H108+I106</f>
        <v>-2194023782.87285</v>
      </c>
      <c r="J108" s="96" t="n">
        <f aca="false">I108+J106</f>
        <v>-2423036482.3381</v>
      </c>
      <c r="K108" s="96" t="n">
        <f aca="false">J108+K106</f>
        <v>-2650808455.77766</v>
      </c>
      <c r="L108" s="96" t="n">
        <f aca="false">K108+L106</f>
        <v>-2878734706.40691</v>
      </c>
      <c r="M108" s="96" t="n">
        <f aca="false">L108+M106</f>
        <v>-3108097698.50384</v>
      </c>
      <c r="N108" s="96" t="n">
        <f aca="false">M108+N106</f>
        <v>-3340091975.17328</v>
      </c>
      <c r="O108" s="96" t="n">
        <f aca="false">N108+O106</f>
        <v>-3575845702.40029</v>
      </c>
      <c r="P108" s="96" t="n">
        <f aca="false">O108+P106</f>
        <v>-3816439649.9659</v>
      </c>
      <c r="Q108" s="96" t="n">
        <f aca="false">P108+Q106</f>
        <v>-4062924047.17311</v>
      </c>
      <c r="R108" s="96" t="n">
        <f aca="false">Q108+R106</f>
        <v>-4316333689.91781</v>
      </c>
      <c r="S108" s="96" t="n">
        <f aca="false">R108+S106</f>
        <v>-4577701623.77886</v>
      </c>
      <c r="T108" s="96" t="n">
        <f aca="false">S108+T106</f>
        <v>-4848071684.09105</v>
      </c>
      <c r="U108" s="96" t="n">
        <f aca="false">T108+U106</f>
        <v>-5128510137.20914</v>
      </c>
      <c r="V108" s="96" t="n">
        <f aca="false">U108+V106</f>
        <v>-5420116636.36045</v>
      </c>
      <c r="W108" s="96" t="n">
        <f aca="false">V108+W106</f>
        <v>-5724034679.76007</v>
      </c>
      <c r="X108" s="96" t="n">
        <f aca="false">W108+X106</f>
        <v>-6041461737.30045</v>
      </c>
      <c r="Y108" s="96" t="n">
        <f aca="false">X108+Y106</f>
        <v>-6373659194.51253</v>
      </c>
      <c r="Z108" s="96" t="n">
        <f aca="false">Y108+Z106</f>
        <v>-6721962248.10976</v>
      </c>
    </row>
    <row r="109" customFormat="false" ht="15" hidden="true" customHeight="true" outlineLevel="1" collapsed="false"/>
    <row r="110" customFormat="false" ht="15" hidden="true" customHeight="true" outlineLevel="1" collapsed="false">
      <c r="A110" s="95" t="s">
        <v>462</v>
      </c>
      <c r="C110" s="97" t="n">
        <f aca="false">$D$83*(1+$E$83)^0</f>
        <v>300</v>
      </c>
      <c r="D110" s="97" t="n">
        <f aca="false">$D$83*(1+$E$83)^1</f>
        <v>324</v>
      </c>
      <c r="E110" s="97" t="n">
        <f aca="false">$D$83*(1+$E$83)^2</f>
        <v>349.92</v>
      </c>
      <c r="F110" s="97" t="n">
        <f aca="false">$D$83*(1+$E$83)^3</f>
        <v>377.9136</v>
      </c>
      <c r="G110" s="97" t="n">
        <f aca="false">$D$83*(1+$E$83)^4</f>
        <v>408.146688</v>
      </c>
      <c r="H110" s="97" t="n">
        <f aca="false">$D$83*(1+$E$83)^5</f>
        <v>440.79842304</v>
      </c>
      <c r="I110" s="97" t="n">
        <f aca="false">$D$83*(1+$E$83)^6</f>
        <v>476.0622968832</v>
      </c>
      <c r="J110" s="97" t="n">
        <f aca="false">$D$83*(1+$E$83)^7</f>
        <v>514.147280633856</v>
      </c>
      <c r="K110" s="97" t="n">
        <f aca="false">$D$83*(1+$E$83)^8</f>
        <v>555.279063084565</v>
      </c>
      <c r="L110" s="97" t="n">
        <f aca="false">$D$83*(1+$E$83)^9</f>
        <v>599.70138813133</v>
      </c>
      <c r="M110" s="97" t="n">
        <f aca="false">$D$83*(1+$E$83)^10</f>
        <v>647.677499181836</v>
      </c>
      <c r="N110" s="97" t="n">
        <f aca="false">$D$83*(1+$E$83)^11</f>
        <v>699.491699116383</v>
      </c>
      <c r="O110" s="97" t="n">
        <f aca="false">$D$83*(1+$E$83)^12</f>
        <v>755.451035045694</v>
      </c>
      <c r="P110" s="97" t="n">
        <f aca="false">$D$83*(1+$E$83)^13</f>
        <v>815.88711784935</v>
      </c>
      <c r="Q110" s="97" t="n">
        <f aca="false">$D$83*(1+$E$83)^14</f>
        <v>881.158087277298</v>
      </c>
      <c r="R110" s="97" t="n">
        <f aca="false">$D$83*(1+$E$83)^15</f>
        <v>951.650734259482</v>
      </c>
      <c r="S110" s="97" t="n">
        <f aca="false">$D$83*(1+$E$83)^16</f>
        <v>1027.78279300024</v>
      </c>
      <c r="T110" s="97" t="n">
        <f aca="false">$D$83*(1+$E$83)^17</f>
        <v>1110.00541644026</v>
      </c>
      <c r="U110" s="97" t="n">
        <f aca="false">$D$83*(1+$E$83)^18</f>
        <v>1198.80584975548</v>
      </c>
      <c r="V110" s="97" t="n">
        <f aca="false">$D$83*(1+$E$83)^19</f>
        <v>1294.71031773592</v>
      </c>
      <c r="W110" s="97" t="n">
        <f aca="false">$D$83*(1+$E$83)^20</f>
        <v>1398.28714315479</v>
      </c>
      <c r="X110" s="97" t="n">
        <f aca="false">$D$83*(1+$E$83)^21</f>
        <v>1510.15011460718</v>
      </c>
      <c r="Y110" s="97" t="n">
        <f aca="false">$D$83*(1+$E$83)^22</f>
        <v>1630.96212377575</v>
      </c>
      <c r="Z110" s="97" t="n">
        <f aca="false">$D$83*(1+$E$83)^23</f>
        <v>1761.43909367781</v>
      </c>
    </row>
    <row r="111" customFormat="false" ht="15" hidden="true" customHeight="true" outlineLevel="1" collapsed="false">
      <c r="A111" s="95" t="s">
        <v>463</v>
      </c>
      <c r="B111" s="95" t="n">
        <v>0</v>
      </c>
      <c r="C111" s="97" t="n">
        <f aca="false">B111*(1-$F$83)+C110</f>
        <v>300</v>
      </c>
      <c r="D111" s="97" t="n">
        <f aca="false">C111*(1-$F$83)+D110</f>
        <v>570</v>
      </c>
      <c r="E111" s="97" t="n">
        <f aca="false">D111*(1-$F$83)+E110</f>
        <v>817.32</v>
      </c>
      <c r="F111" s="97" t="n">
        <f aca="false">E111*(1-$F$83)+F110</f>
        <v>1048.116</v>
      </c>
      <c r="G111" s="97" t="n">
        <f aca="false">F111*(1-$F$83)+G110</f>
        <v>1267.601808</v>
      </c>
      <c r="H111" s="97" t="n">
        <f aca="false">G111*(1-$F$83)+H110</f>
        <v>1480.2319056</v>
      </c>
      <c r="I111" s="97" t="n">
        <f aca="false">H111*(1-$F$83)+I110</f>
        <v>1689.8524594752</v>
      </c>
      <c r="J111" s="97" t="n">
        <f aca="false">I111*(1-$F$83)+J110</f>
        <v>1899.82629740352</v>
      </c>
      <c r="K111" s="97" t="n">
        <f aca="false">J111*(1-$F$83)+K110</f>
        <v>2113.13662695545</v>
      </c>
      <c r="L111" s="97" t="n">
        <f aca="false">K111*(1-$F$83)+L110</f>
        <v>2332.4734222348</v>
      </c>
      <c r="M111" s="97" t="n">
        <f aca="false">L111*(1-$F$83)+M110</f>
        <v>2560.30570541437</v>
      </c>
      <c r="N111" s="97" t="n">
        <f aca="false">M111*(1-$F$83)+N110</f>
        <v>2798.94237755617</v>
      </c>
      <c r="O111" s="97" t="n">
        <f aca="false">N111*(1-$F$83)+O110</f>
        <v>3050.58378464175</v>
      </c>
      <c r="P111" s="97" t="n">
        <f aca="false">O111*(1-$F$83)+P110</f>
        <v>3317.36582125559</v>
      </c>
      <c r="Q111" s="97" t="n">
        <f aca="false">P111*(1-$F$83)+Q110</f>
        <v>3601.39806070688</v>
      </c>
      <c r="R111" s="97" t="n">
        <f aca="false">Q111*(1-$F$83)+R110</f>
        <v>3904.79714403912</v>
      </c>
      <c r="S111" s="97" t="n">
        <f aca="false">R111*(1-$F$83)+S110</f>
        <v>4229.71645111232</v>
      </c>
      <c r="T111" s="97" t="n">
        <f aca="false">S111*(1-$F$83)+T110</f>
        <v>4578.37290635236</v>
      </c>
      <c r="U111" s="97" t="n">
        <f aca="false">T111*(1-$F$83)+U110</f>
        <v>4953.07163296442</v>
      </c>
      <c r="V111" s="97" t="n">
        <f aca="false">U111*(1-$F$83)+V110</f>
        <v>5356.22905676674</v>
      </c>
      <c r="W111" s="97" t="n">
        <f aca="false">V111*(1-$F$83)+W110</f>
        <v>5790.39496970352</v>
      </c>
      <c r="X111" s="97" t="n">
        <f aca="false">W111*(1-$F$83)+X110</f>
        <v>6258.27398976407</v>
      </c>
      <c r="Y111" s="97" t="n">
        <f aca="false">X111*(1-$F$83)+Y110</f>
        <v>6762.74679538228</v>
      </c>
      <c r="Z111" s="97" t="n">
        <f aca="false">Y111*(1-$F$83)+Z110</f>
        <v>7306.89146589128</v>
      </c>
    </row>
    <row r="112" customFormat="false" ht="15" hidden="true" customHeight="true" outlineLevel="1" collapsed="false">
      <c r="A112" s="95" t="s">
        <v>464</v>
      </c>
      <c r="B112" s="96" t="n">
        <f aca="false">-$I$83</f>
        <v>-400000000</v>
      </c>
      <c r="C112" s="96" t="n">
        <f aca="false">C111*($B$83-$C$83)-C110*$G$83-$H$83</f>
        <v>-292559897.952</v>
      </c>
      <c r="D112" s="96" t="n">
        <f aca="false">D111*($B$83-$C$83)-D110*$G$83-$H$83</f>
        <v>-275663806.1088</v>
      </c>
      <c r="E112" s="96" t="n">
        <f aca="false">E111*($B$83-$C$83)-E110*$G$83-$H$83</f>
        <v>-262942185.980429</v>
      </c>
      <c r="F112" s="96" t="n">
        <f aca="false">F111*($B$83-$C$83)-F110*$G$83-$H$83</f>
        <v>-253734286.672861</v>
      </c>
      <c r="G112" s="96" t="n">
        <f aca="false">G111*($B$83-$C$83)-G110*$G$83-$H$83</f>
        <v>-247505544.774169</v>
      </c>
      <c r="H112" s="96" t="n">
        <f aca="false">H111*($B$83-$C$83)-H110*$G$83-$H$83</f>
        <v>-243825450.793435</v>
      </c>
      <c r="I112" s="96" t="n">
        <f aca="false">I111*($B$83-$C$83)-I110*$G$83-$H$83</f>
        <v>-242349446.055522</v>
      </c>
      <c r="J112" s="96" t="n">
        <f aca="false">J111*($B$83-$C$83)-J110*$G$83-$H$83</f>
        <v>-242804128.282827</v>
      </c>
      <c r="K112" s="96" t="n">
        <f aca="false">K111*($B$83-$C$83)-K110*$G$83-$H$83</f>
        <v>-244975174.3106</v>
      </c>
      <c r="L112" s="96" t="n">
        <f aca="false">L111*($B$83-$C$83)-L110*$G$83-$H$83</f>
        <v>-248697495.182869</v>
      </c>
      <c r="M112" s="96" t="n">
        <f aca="false">M111*($B$83-$C$83)-M110*$G$83-$H$83</f>
        <v>-253847226.477983</v>
      </c>
      <c r="N112" s="96" t="n">
        <f aca="false">N111*($B$83-$C$83)-N110*$G$83-$H$83</f>
        <v>-260335228.574219</v>
      </c>
      <c r="O112" s="96" t="n">
        <f aca="false">O111*($B$83-$C$83)-O110*$G$83-$H$83</f>
        <v>-268101830.522115</v>
      </c>
      <c r="P112" s="96" t="n">
        <f aca="false">P111*($B$83-$C$83)-P110*$G$83-$H$83</f>
        <v>-277112599.56669</v>
      </c>
      <c r="Q112" s="96" t="n">
        <f aca="false">Q111*($B$83-$C$83)-Q110*$G$83-$H$83</f>
        <v>-287354958.066325</v>
      </c>
      <c r="R112" s="96" t="n">
        <f aca="false">R111*($B$83-$C$83)-R110*$G$83-$H$83</f>
        <v>-298835502.149758</v>
      </c>
      <c r="S112" s="96" t="n">
        <f aca="false">S111*($B$83-$C$83)-S110*$G$83-$H$83</f>
        <v>-311577903.221002</v>
      </c>
      <c r="T112" s="96" t="n">
        <f aca="false">T111*($B$83-$C$83)-T110*$G$83-$H$83</f>
        <v>-325621295.416079</v>
      </c>
      <c r="U112" s="96" t="n">
        <f aca="false">U111*($B$83-$C$83)-U110*$G$83-$H$83</f>
        <v>-341019070.19803</v>
      </c>
      <c r="V112" s="96" t="n">
        <f aca="false">V111*($B$83-$C$83)-V110*$G$83-$H$83</f>
        <v>-357838014.155778</v>
      </c>
      <c r="W112" s="96" t="n">
        <f aca="false">W111*($B$83-$C$83)-W110*$G$83-$H$83</f>
        <v>-376157738.328602</v>
      </c>
      <c r="X112" s="96" t="n">
        <f aca="false">X111*($B$83-$C$83)-X110*$G$83-$H$83</f>
        <v>-396070357.487988</v>
      </c>
      <c r="Y112" s="96" t="n">
        <f aca="false">Y111*($B$83-$C$83)-Y110*$G$83-$H$83</f>
        <v>-417680386.163366</v>
      </c>
      <c r="Z112" s="96" t="n">
        <f aca="false">Z111*($B$83-$C$83)-Z110*$G$83-$H$83</f>
        <v>-441104825.119034</v>
      </c>
    </row>
    <row r="113" customFormat="false" ht="15" hidden="true" customHeight="true" outlineLevel="1" collapsed="false">
      <c r="A113" s="95" t="s">
        <v>465</v>
      </c>
      <c r="B113" s="96" t="n">
        <f aca="false">$J$83+B112</f>
        <v>1100000000</v>
      </c>
      <c r="C113" s="96" t="n">
        <f aca="false">B113+C112</f>
        <v>807440102.048</v>
      </c>
      <c r="D113" s="96" t="n">
        <f aca="false">C113+D112</f>
        <v>531776295.9392</v>
      </c>
      <c r="E113" s="96" t="n">
        <f aca="false">D113+E112</f>
        <v>268834109.958771</v>
      </c>
      <c r="F113" s="96" t="n">
        <f aca="false">E113+F112</f>
        <v>15099823.2859097</v>
      </c>
      <c r="G113" s="96" t="n">
        <f aca="false">F113+G112</f>
        <v>-232405721.488259</v>
      </c>
      <c r="H113" s="96" t="n">
        <f aca="false">G113+H112</f>
        <v>-476231172.281694</v>
      </c>
      <c r="I113" s="96" t="n">
        <f aca="false">H113+I112</f>
        <v>-718580618.337217</v>
      </c>
      <c r="J113" s="96" t="n">
        <f aca="false">I113+J112</f>
        <v>-961384746.620043</v>
      </c>
      <c r="K113" s="96" t="n">
        <f aca="false">J113+K112</f>
        <v>-1206359920.93064</v>
      </c>
      <c r="L113" s="96" t="n">
        <f aca="false">K113+L112</f>
        <v>-1455057416.11351</v>
      </c>
      <c r="M113" s="96" t="n">
        <f aca="false">L113+M112</f>
        <v>-1708904642.5915</v>
      </c>
      <c r="N113" s="96" t="n">
        <f aca="false">M113+N112</f>
        <v>-1969239871.16571</v>
      </c>
      <c r="O113" s="96" t="n">
        <f aca="false">N113+O112</f>
        <v>-2237341701.68783</v>
      </c>
      <c r="P113" s="96" t="n">
        <f aca="false">O113+P112</f>
        <v>-2514454301.25452</v>
      </c>
      <c r="Q113" s="96" t="n">
        <f aca="false">P113+Q112</f>
        <v>-2801809259.32084</v>
      </c>
      <c r="R113" s="96" t="n">
        <f aca="false">Q113+R112</f>
        <v>-3100644761.4706</v>
      </c>
      <c r="S113" s="96" t="n">
        <f aca="false">R113+S112</f>
        <v>-3412222664.6916</v>
      </c>
      <c r="T113" s="96" t="n">
        <f aca="false">S113+T112</f>
        <v>-3737843960.10768</v>
      </c>
      <c r="U113" s="96" t="n">
        <f aca="false">T113+U112</f>
        <v>-4078863030.30571</v>
      </c>
      <c r="V113" s="96" t="n">
        <f aca="false">U113+V112</f>
        <v>-4436701044.46149</v>
      </c>
      <c r="W113" s="96" t="n">
        <f aca="false">V113+W112</f>
        <v>-4812858782.79009</v>
      </c>
      <c r="X113" s="96" t="n">
        <f aca="false">W113+X112</f>
        <v>-5208929140.27808</v>
      </c>
      <c r="Y113" s="96" t="n">
        <f aca="false">X113+Y112</f>
        <v>-5626609526.44145</v>
      </c>
      <c r="Z113" s="96" t="n">
        <f aca="false">Y113+Z112</f>
        <v>-6067714351.56048</v>
      </c>
    </row>
    <row r="114" customFormat="false" ht="15" hidden="true" customHeight="true" outlineLevel="1" collapsed="false">
      <c r="A114" s="95" t="s">
        <v>466</v>
      </c>
      <c r="B114" s="96" t="n">
        <f aca="false">B112</f>
        <v>-400000000</v>
      </c>
      <c r="C114" s="96" t="n">
        <f aca="false">B114+C112</f>
        <v>-692559897.952</v>
      </c>
      <c r="D114" s="96" t="n">
        <f aca="false">C114+D112</f>
        <v>-968223704.0608</v>
      </c>
      <c r="E114" s="96" t="n">
        <f aca="false">D114+E112</f>
        <v>-1231165890.04123</v>
      </c>
      <c r="F114" s="96" t="n">
        <f aca="false">E114+F112</f>
        <v>-1484900176.71409</v>
      </c>
      <c r="G114" s="96" t="n">
        <f aca="false">F114+G112</f>
        <v>-1732405721.48826</v>
      </c>
      <c r="H114" s="96" t="n">
        <f aca="false">G114+H112</f>
        <v>-1976231172.28169</v>
      </c>
      <c r="I114" s="96" t="n">
        <f aca="false">H114+I112</f>
        <v>-2218580618.33722</v>
      </c>
      <c r="J114" s="96" t="n">
        <f aca="false">I114+J112</f>
        <v>-2461384746.62004</v>
      </c>
      <c r="K114" s="96" t="n">
        <f aca="false">J114+K112</f>
        <v>-2706359920.93064</v>
      </c>
      <c r="L114" s="96" t="n">
        <f aca="false">K114+L112</f>
        <v>-2955057416.11351</v>
      </c>
      <c r="M114" s="96" t="n">
        <f aca="false">L114+M112</f>
        <v>-3208904642.59149</v>
      </c>
      <c r="N114" s="96" t="n">
        <f aca="false">M114+N112</f>
        <v>-3469239871.16571</v>
      </c>
      <c r="O114" s="96" t="n">
        <f aca="false">N114+O112</f>
        <v>-3737341701.68783</v>
      </c>
      <c r="P114" s="96" t="n">
        <f aca="false">O114+P112</f>
        <v>-4014454301.25452</v>
      </c>
      <c r="Q114" s="96" t="n">
        <f aca="false">P114+Q112</f>
        <v>-4301809259.32084</v>
      </c>
      <c r="R114" s="96" t="n">
        <f aca="false">Q114+R112</f>
        <v>-4600644761.4706</v>
      </c>
      <c r="S114" s="96" t="n">
        <f aca="false">R114+S112</f>
        <v>-4912222664.69161</v>
      </c>
      <c r="T114" s="96" t="n">
        <f aca="false">S114+T112</f>
        <v>-5237843960.10768</v>
      </c>
      <c r="U114" s="96" t="n">
        <f aca="false">T114+U112</f>
        <v>-5578863030.30571</v>
      </c>
      <c r="V114" s="96" t="n">
        <f aca="false">U114+V112</f>
        <v>-5936701044.46149</v>
      </c>
      <c r="W114" s="96" t="n">
        <f aca="false">V114+W112</f>
        <v>-6312858782.79009</v>
      </c>
      <c r="X114" s="96" t="n">
        <f aca="false">W114+X112</f>
        <v>-6708929140.27808</v>
      </c>
      <c r="Y114" s="96" t="n">
        <f aca="false">X114+Y112</f>
        <v>-7126609526.44145</v>
      </c>
      <c r="Z114" s="96" t="n">
        <f aca="false">Y114+Z112</f>
        <v>-7567714351.56048</v>
      </c>
    </row>
    <row r="115" customFormat="false" ht="15" hidden="true" customHeight="true" outlineLevel="1" collapsed="false"/>
    <row r="116" customFormat="false" ht="15" hidden="true" customHeight="true" outlineLevel="1" collapsed="false">
      <c r="A116" s="95" t="s">
        <v>467</v>
      </c>
      <c r="C116" s="97" t="n">
        <f aca="false">$D$84*(1+$E$84)^0</f>
        <v>300</v>
      </c>
      <c r="D116" s="97" t="n">
        <f aca="false">$D$84*(1+$E$84)^1</f>
        <v>324</v>
      </c>
      <c r="E116" s="97" t="n">
        <f aca="false">$D$84*(1+$E$84)^2</f>
        <v>349.92</v>
      </c>
      <c r="F116" s="97" t="n">
        <f aca="false">$D$84*(1+$E$84)^3</f>
        <v>377.9136</v>
      </c>
      <c r="G116" s="97" t="n">
        <f aca="false">$D$84*(1+$E$84)^4</f>
        <v>408.146688</v>
      </c>
      <c r="H116" s="97" t="n">
        <f aca="false">$D$84*(1+$E$84)^5</f>
        <v>440.79842304</v>
      </c>
      <c r="I116" s="97" t="n">
        <f aca="false">$D$84*(1+$E$84)^6</f>
        <v>476.0622968832</v>
      </c>
      <c r="J116" s="97" t="n">
        <f aca="false">$D$84*(1+$E$84)^7</f>
        <v>514.147280633856</v>
      </c>
      <c r="K116" s="97" t="n">
        <f aca="false">$D$84*(1+$E$84)^8</f>
        <v>555.279063084565</v>
      </c>
      <c r="L116" s="97" t="n">
        <f aca="false">$D$84*(1+$E$84)^9</f>
        <v>599.70138813133</v>
      </c>
      <c r="M116" s="97" t="n">
        <f aca="false">$D$84*(1+$E$84)^10</f>
        <v>647.677499181836</v>
      </c>
      <c r="N116" s="97" t="n">
        <f aca="false">$D$84*(1+$E$84)^11</f>
        <v>699.491699116383</v>
      </c>
      <c r="O116" s="97" t="n">
        <f aca="false">$D$84*(1+$E$84)^12</f>
        <v>755.451035045694</v>
      </c>
      <c r="P116" s="97" t="n">
        <f aca="false">$D$84*(1+$E$84)^13</f>
        <v>815.88711784935</v>
      </c>
      <c r="Q116" s="97" t="n">
        <f aca="false">$D$84*(1+$E$84)^14</f>
        <v>881.158087277298</v>
      </c>
      <c r="R116" s="97" t="n">
        <f aca="false">$D$84*(1+$E$84)^15</f>
        <v>951.650734259482</v>
      </c>
      <c r="S116" s="97" t="n">
        <f aca="false">$D$84*(1+$E$84)^16</f>
        <v>1027.78279300024</v>
      </c>
      <c r="T116" s="97" t="n">
        <f aca="false">$D$84*(1+$E$84)^17</f>
        <v>1110.00541644026</v>
      </c>
      <c r="U116" s="97" t="n">
        <f aca="false">$D$84*(1+$E$84)^18</f>
        <v>1198.80584975548</v>
      </c>
      <c r="V116" s="97" t="n">
        <f aca="false">$D$84*(1+$E$84)^19</f>
        <v>1294.71031773592</v>
      </c>
      <c r="W116" s="97" t="n">
        <f aca="false">$D$84*(1+$E$84)^20</f>
        <v>1398.28714315479</v>
      </c>
      <c r="X116" s="97" t="n">
        <f aca="false">$D$84*(1+$E$84)^21</f>
        <v>1510.15011460718</v>
      </c>
      <c r="Y116" s="97" t="n">
        <f aca="false">$D$84*(1+$E$84)^22</f>
        <v>1630.96212377575</v>
      </c>
      <c r="Z116" s="97" t="n">
        <f aca="false">$D$84*(1+$E$84)^23</f>
        <v>1761.43909367781</v>
      </c>
    </row>
    <row r="117" customFormat="false" ht="15" hidden="true" customHeight="true" outlineLevel="1" collapsed="false">
      <c r="A117" s="95" t="s">
        <v>468</v>
      </c>
      <c r="B117" s="95" t="n">
        <v>0</v>
      </c>
      <c r="C117" s="97" t="n">
        <f aca="false">B117*(1-$F$84)+C116</f>
        <v>300</v>
      </c>
      <c r="D117" s="97" t="n">
        <f aca="false">C117*(1-$F$84)+D116</f>
        <v>579</v>
      </c>
      <c r="E117" s="97" t="n">
        <f aca="false">D117*(1-$F$84)+E116</f>
        <v>842.07</v>
      </c>
      <c r="F117" s="97" t="n">
        <f aca="false">E117*(1-$F$84)+F116</f>
        <v>1093.6731</v>
      </c>
      <c r="G117" s="97" t="n">
        <f aca="false">F117*(1-$F$84)+G116</f>
        <v>1337.768823</v>
      </c>
      <c r="H117" s="97" t="n">
        <f aca="false">G117*(1-$F$84)+H116</f>
        <v>1577.90192259</v>
      </c>
      <c r="I117" s="97" t="n">
        <f aca="false">H117*(1-$F$84)+I116</f>
        <v>1817.2789310847</v>
      </c>
      <c r="J117" s="97" t="n">
        <f aca="false">I117*(1-$F$84)+J116</f>
        <v>2058.83437205585</v>
      </c>
      <c r="K117" s="97" t="n">
        <f aca="false">J117*(1-$F$84)+K116</f>
        <v>2305.28827933204</v>
      </c>
      <c r="L117" s="97" t="n">
        <f aca="false">K117*(1-$F$84)+L116</f>
        <v>2559.19642556356</v>
      </c>
      <c r="M117" s="97" t="n">
        <f aca="false">L117*(1-$F$84)+M116</f>
        <v>2822.99446091086</v>
      </c>
      <c r="N117" s="97" t="n">
        <f aca="false">M117*(1-$F$84)+N116</f>
        <v>3099.03699089062</v>
      </c>
      <c r="O117" s="97" t="n">
        <f aca="false">N117*(1-$F$84)+O116</f>
        <v>3389.63247730272</v>
      </c>
      <c r="P117" s="97" t="n">
        <f aca="false">O117*(1-$F$84)+P116</f>
        <v>3697.07472355666</v>
      </c>
      <c r="Q117" s="97" t="n">
        <f aca="false">P117*(1-$F$84)+Q116</f>
        <v>4023.67160230046</v>
      </c>
      <c r="R117" s="97" t="n">
        <f aca="false">Q117*(1-$F$84)+R116</f>
        <v>4371.77159621487</v>
      </c>
      <c r="S117" s="97" t="n">
        <f aca="false">R117*(1-$F$84)+S116</f>
        <v>4743.78864978288</v>
      </c>
      <c r="T117" s="97" t="n">
        <f aca="false">S117*(1-$F$84)+T116</f>
        <v>5142.22576875571</v>
      </c>
      <c r="U117" s="97" t="n">
        <f aca="false">T117*(1-$F$84)+U116</f>
        <v>5569.69775319783</v>
      </c>
      <c r="V117" s="97" t="n">
        <f aca="false">U117*(1-$F$84)+V116</f>
        <v>6028.95340795408</v>
      </c>
      <c r="W117" s="97" t="n">
        <f aca="false">V117*(1-$F$84)+W116</f>
        <v>6522.89753991576</v>
      </c>
      <c r="X117" s="97" t="n">
        <f aca="false">W117*(1-$F$84)+X116</f>
        <v>7054.61302353557</v>
      </c>
      <c r="Y117" s="97" t="n">
        <f aca="false">X117*(1-$F$84)+Y116</f>
        <v>7627.38319378098</v>
      </c>
      <c r="Z117" s="97" t="n">
        <f aca="false">Y117*(1-$F$84)+Z116</f>
        <v>8244.71480839165</v>
      </c>
    </row>
    <row r="118" customFormat="false" ht="15" hidden="true" customHeight="true" outlineLevel="1" collapsed="false">
      <c r="A118" s="95" t="s">
        <v>469</v>
      </c>
      <c r="B118" s="96" t="n">
        <f aca="false">-$I$84</f>
        <v>-400000000</v>
      </c>
      <c r="C118" s="96" t="n">
        <f aca="false">C117*($B$84-$C$84)-C116*$G$84-$H$84</f>
        <v>-334559897.952</v>
      </c>
      <c r="D118" s="96" t="n">
        <f aca="false">D117*($B$84-$C$84)-D116*$G$84-$H$84</f>
        <v>-319900603.04736</v>
      </c>
      <c r="E118" s="96" t="n">
        <f aca="false">E117*($B$84-$C$84)-E116*$G$84-$H$84</f>
        <v>-308842177.561469</v>
      </c>
      <c r="F118" s="96" t="n">
        <f aca="false">F117*($B$84-$C$84)-F116*$G$84-$H$84</f>
        <v>-300956649.096158</v>
      </c>
      <c r="G118" s="96" t="n">
        <f aca="false">G117*($B$84-$C$84)-G116*$G$84-$H$84</f>
        <v>-295889213.754157</v>
      </c>
      <c r="H118" s="96" t="n">
        <f aca="false">H117*($B$84-$C$84)-H116*$G$84-$H$84</f>
        <v>-293347978.67525</v>
      </c>
      <c r="I118" s="96" t="n">
        <f aca="false">I117*($B$84-$C$84)-I116*$G$84-$H$84</f>
        <v>-293095300.616916</v>
      </c>
      <c r="J118" s="96" t="n">
        <f aca="false">J117*($B$84-$C$84)-J116*$G$84-$H$84</f>
        <v>-294940485.766769</v>
      </c>
      <c r="K118" s="96" t="n">
        <f aca="false">K117*($B$84-$C$84)-K116*$G$84-$H$84</f>
        <v>-298733651.563535</v>
      </c>
      <c r="L118" s="96" t="n">
        <f aca="false">L117*($B$84-$C$84)-L116*$G$84-$H$84</f>
        <v>-304360581.583728</v>
      </c>
      <c r="M118" s="96" t="n">
        <f aca="false">M117*($B$84-$C$84)-M116*$G$84-$H$84</f>
        <v>-311738430.321271</v>
      </c>
      <c r="N118" s="96" t="n">
        <f aca="false">N117*($B$84-$C$84)-N116*$G$84-$H$84</f>
        <v>-320812156.62619</v>
      </c>
      <c r="O118" s="96" t="n">
        <f aca="false">O117*($B$84-$C$84)-O116*$G$84-$H$84</f>
        <v>-331551583.25362</v>
      </c>
      <c r="P118" s="96" t="n">
        <f aca="false">P117*($B$84-$C$84)-P116*$G$84-$H$84</f>
        <v>-343948995.896644</v>
      </c>
      <c r="Q118" s="96" t="n">
        <f aca="false">Q117*($B$84-$C$84)-Q116*$G$84-$H$84</f>
        <v>-358017208.6537</v>
      </c>
      <c r="R118" s="96" t="n">
        <f aca="false">R117*($B$84-$C$84)-R116*$G$84-$H$84</f>
        <v>-373788034.468522</v>
      </c>
      <c r="S118" s="96" t="n">
        <f aca="false">S117*($B$84-$C$84)-S116*$G$84-$H$84</f>
        <v>-391311108.980151</v>
      </c>
      <c r="T118" s="96" t="n">
        <f aca="false">T117*($B$84-$C$84)-T116*$G$84-$H$84</f>
        <v>-410653024.689588</v>
      </c>
      <c r="U118" s="96" t="n">
        <f aca="false">U117*($B$84-$C$84)-U116*$G$84-$H$84</f>
        <v>-431896739.607126</v>
      </c>
      <c r="V118" s="96" t="n">
        <f aca="false">V117*($B$84-$C$84)-V116*$G$84-$H$84</f>
        <v>-455141230.776712</v>
      </c>
      <c r="W118" s="96" t="n">
        <f aca="false">W117*($B$84-$C$84)-W116*$G$84-$H$84</f>
        <v>-480501368.439712</v>
      </c>
      <c r="X118" s="96" t="n">
        <f aca="false">X117*($B$84-$C$84)-X116*$G$84-$H$84</f>
        <v>-508107991.235623</v>
      </c>
      <c r="Y118" s="96" t="n">
        <f aca="false">Y117*($B$84-$C$84)-Y116*$G$84-$H$84</f>
        <v>-538108166.857096</v>
      </c>
      <c r="Z118" s="96" t="n">
        <f aca="false">Z117*($B$84-$C$84)-Z116*$G$84-$H$84</f>
        <v>-570665626.079894</v>
      </c>
    </row>
    <row r="119" customFormat="false" ht="15" hidden="true" customHeight="true" outlineLevel="1" collapsed="false">
      <c r="A119" s="95" t="s">
        <v>470</v>
      </c>
      <c r="B119" s="96" t="n">
        <f aca="false">$J$84+B118</f>
        <v>1100000000</v>
      </c>
      <c r="C119" s="96" t="n">
        <f aca="false">B119+C118</f>
        <v>765440102.048</v>
      </c>
      <c r="D119" s="96" t="n">
        <f aca="false">C119+D118</f>
        <v>445539499.00064</v>
      </c>
      <c r="E119" s="96" t="n">
        <f aca="false">D119+E118</f>
        <v>136697321.439171</v>
      </c>
      <c r="F119" s="96" t="n">
        <f aca="false">E119+F118</f>
        <v>-164259327.656987</v>
      </c>
      <c r="G119" s="96" t="n">
        <f aca="false">F119+G118</f>
        <v>-460148541.411144</v>
      </c>
      <c r="H119" s="96" t="n">
        <f aca="false">G119+H118</f>
        <v>-753496520.086395</v>
      </c>
      <c r="I119" s="96" t="n">
        <f aca="false">H119+I118</f>
        <v>-1046591820.70331</v>
      </c>
      <c r="J119" s="96" t="n">
        <f aca="false">I119+J118</f>
        <v>-1341532306.47008</v>
      </c>
      <c r="K119" s="96" t="n">
        <f aca="false">J119+K118</f>
        <v>-1640265958.03361</v>
      </c>
      <c r="L119" s="96" t="n">
        <f aca="false">K119+L118</f>
        <v>-1944626539.61734</v>
      </c>
      <c r="M119" s="96" t="n">
        <f aca="false">L119+M118</f>
        <v>-2256364969.93861</v>
      </c>
      <c r="N119" s="96" t="n">
        <f aca="false">M119+N118</f>
        <v>-2577177126.5648</v>
      </c>
      <c r="O119" s="96" t="n">
        <f aca="false">N119+O118</f>
        <v>-2908728709.81842</v>
      </c>
      <c r="P119" s="96" t="n">
        <f aca="false">O119+P118</f>
        <v>-3252677705.71507</v>
      </c>
      <c r="Q119" s="96" t="n">
        <f aca="false">P119+Q118</f>
        <v>-3610694914.36877</v>
      </c>
      <c r="R119" s="96" t="n">
        <f aca="false">Q119+R118</f>
        <v>-3984482948.83729</v>
      </c>
      <c r="S119" s="96" t="n">
        <f aca="false">R119+S118</f>
        <v>-4375794057.81744</v>
      </c>
      <c r="T119" s="96" t="n">
        <f aca="false">S119+T118</f>
        <v>-4786447082.50703</v>
      </c>
      <c r="U119" s="96" t="n">
        <f aca="false">T119+U118</f>
        <v>-5218343822.11416</v>
      </c>
      <c r="V119" s="96" t="n">
        <f aca="false">U119+V118</f>
        <v>-5673485052.89087</v>
      </c>
      <c r="W119" s="96" t="n">
        <f aca="false">V119+W118</f>
        <v>-6153986421.33058</v>
      </c>
      <c r="X119" s="96" t="n">
        <f aca="false">W119+X118</f>
        <v>-6662094412.5662</v>
      </c>
      <c r="Y119" s="96" t="n">
        <f aca="false">X119+Y118</f>
        <v>-7200202579.4233</v>
      </c>
      <c r="Z119" s="96" t="n">
        <f aca="false">Y119+Z118</f>
        <v>-7770868205.50319</v>
      </c>
    </row>
    <row r="120" customFormat="false" ht="15" hidden="true" customHeight="true" outlineLevel="1" collapsed="false">
      <c r="A120" s="95" t="s">
        <v>471</v>
      </c>
      <c r="B120" s="96" t="n">
        <f aca="false">B118</f>
        <v>-400000000</v>
      </c>
      <c r="C120" s="96" t="n">
        <f aca="false">B120+C118</f>
        <v>-734559897.952</v>
      </c>
      <c r="D120" s="96" t="n">
        <f aca="false">C120+D118</f>
        <v>-1054460500.99936</v>
      </c>
      <c r="E120" s="96" t="n">
        <f aca="false">D120+E118</f>
        <v>-1363302678.56083</v>
      </c>
      <c r="F120" s="96" t="n">
        <f aca="false">E120+F118</f>
        <v>-1664259327.65699</v>
      </c>
      <c r="G120" s="96" t="n">
        <f aca="false">F120+G118</f>
        <v>-1960148541.41114</v>
      </c>
      <c r="H120" s="96" t="n">
        <f aca="false">G120+H118</f>
        <v>-2253496520.08639</v>
      </c>
      <c r="I120" s="96" t="n">
        <f aca="false">H120+I118</f>
        <v>-2546591820.70331</v>
      </c>
      <c r="J120" s="96" t="n">
        <f aca="false">I120+J118</f>
        <v>-2841532306.47008</v>
      </c>
      <c r="K120" s="96" t="n">
        <f aca="false">J120+K118</f>
        <v>-3140265958.03361</v>
      </c>
      <c r="L120" s="96" t="n">
        <f aca="false">K120+L118</f>
        <v>-3444626539.61734</v>
      </c>
      <c r="M120" s="96" t="n">
        <f aca="false">L120+M118</f>
        <v>-3756364969.93861</v>
      </c>
      <c r="N120" s="96" t="n">
        <f aca="false">M120+N118</f>
        <v>-4077177126.5648</v>
      </c>
      <c r="O120" s="96" t="n">
        <f aca="false">N120+O118</f>
        <v>-4408728709.81842</v>
      </c>
      <c r="P120" s="96" t="n">
        <f aca="false">O120+P118</f>
        <v>-4752677705.71507</v>
      </c>
      <c r="Q120" s="96" t="n">
        <f aca="false">P120+Q118</f>
        <v>-5110694914.36877</v>
      </c>
      <c r="R120" s="96" t="n">
        <f aca="false">Q120+R118</f>
        <v>-5484482948.83729</v>
      </c>
      <c r="S120" s="96" t="n">
        <f aca="false">R120+S118</f>
        <v>-5875794057.81744</v>
      </c>
      <c r="T120" s="96" t="n">
        <f aca="false">S120+T118</f>
        <v>-6286447082.50703</v>
      </c>
      <c r="U120" s="96" t="n">
        <f aca="false">T120+U118</f>
        <v>-6718343822.11416</v>
      </c>
      <c r="V120" s="96" t="n">
        <f aca="false">U120+V118</f>
        <v>-7173485052.89087</v>
      </c>
      <c r="W120" s="96" t="n">
        <f aca="false">V120+W118</f>
        <v>-7653986421.33058</v>
      </c>
      <c r="X120" s="96" t="n">
        <f aca="false">W120+X118</f>
        <v>-8162094412.5662</v>
      </c>
      <c r="Y120" s="96" t="n">
        <f aca="false">X120+Y118</f>
        <v>-8700202579.4233</v>
      </c>
      <c r="Z120" s="96" t="n">
        <f aca="false">Y120+Z118</f>
        <v>-9270868205.50319</v>
      </c>
    </row>
    <row r="121" customFormat="false" ht="15" hidden="true" customHeight="true" outlineLevel="1" collapsed="false"/>
    <row r="122" customFormat="false" ht="15" hidden="true" customHeight="true" outlineLevel="1" collapsed="false">
      <c r="A122" s="95" t="s">
        <v>472</v>
      </c>
      <c r="C122" s="97" t="n">
        <f aca="false">$D$85*(1+$E$85)^0</f>
        <v>240</v>
      </c>
      <c r="D122" s="97" t="n">
        <f aca="false">$D$85*(1+$E$85)^1</f>
        <v>259.2</v>
      </c>
      <c r="E122" s="97" t="n">
        <f aca="false">$D$85*(1+$E$85)^2</f>
        <v>279.936</v>
      </c>
      <c r="F122" s="97" t="n">
        <f aca="false">$D$85*(1+$E$85)^3</f>
        <v>302.33088</v>
      </c>
      <c r="G122" s="97" t="n">
        <f aca="false">$D$85*(1+$E$85)^4</f>
        <v>326.5173504</v>
      </c>
      <c r="H122" s="97" t="n">
        <f aca="false">$D$85*(1+$E$85)^5</f>
        <v>352.638738432</v>
      </c>
      <c r="I122" s="97" t="n">
        <f aca="false">$D$85*(1+$E$85)^6</f>
        <v>380.84983750656</v>
      </c>
      <c r="J122" s="97" t="n">
        <f aca="false">$D$85*(1+$E$85)^7</f>
        <v>411.317824507085</v>
      </c>
      <c r="K122" s="97" t="n">
        <f aca="false">$D$85*(1+$E$85)^8</f>
        <v>444.223250467652</v>
      </c>
      <c r="L122" s="97" t="n">
        <f aca="false">$D$85*(1+$E$85)^9</f>
        <v>479.761110505064</v>
      </c>
      <c r="M122" s="97" t="n">
        <f aca="false">$D$85*(1+$E$85)^10</f>
        <v>518.141999345469</v>
      </c>
      <c r="N122" s="97" t="n">
        <f aca="false">$D$85*(1+$E$85)^11</f>
        <v>559.593359293107</v>
      </c>
      <c r="O122" s="97" t="n">
        <f aca="false">$D$85*(1+$E$85)^12</f>
        <v>604.360828036555</v>
      </c>
      <c r="P122" s="97" t="n">
        <f aca="false">$D$85*(1+$E$85)^13</f>
        <v>652.70969427948</v>
      </c>
      <c r="Q122" s="97" t="n">
        <f aca="false">$D$85*(1+$E$85)^14</f>
        <v>704.926469821838</v>
      </c>
      <c r="R122" s="97" t="n">
        <f aca="false">$D$85*(1+$E$85)^15</f>
        <v>761.320587407585</v>
      </c>
      <c r="S122" s="97" t="n">
        <f aca="false">$D$85*(1+$E$85)^16</f>
        <v>822.226234400192</v>
      </c>
      <c r="T122" s="97" t="n">
        <f aca="false">$D$85*(1+$E$85)^17</f>
        <v>888.004333152208</v>
      </c>
      <c r="U122" s="97" t="n">
        <f aca="false">$D$85*(1+$E$85)^18</f>
        <v>959.044679804384</v>
      </c>
      <c r="V122" s="97" t="n">
        <f aca="false">$D$85*(1+$E$85)^19</f>
        <v>1035.76825418874</v>
      </c>
      <c r="W122" s="97" t="n">
        <f aca="false">$D$85*(1+$E$85)^20</f>
        <v>1118.62971452383</v>
      </c>
      <c r="X122" s="97" t="n">
        <f aca="false">$D$85*(1+$E$85)^21</f>
        <v>1208.12009168574</v>
      </c>
      <c r="Y122" s="97" t="n">
        <f aca="false">$D$85*(1+$E$85)^22</f>
        <v>1304.7696990206</v>
      </c>
      <c r="Z122" s="97" t="n">
        <f aca="false">$D$85*(1+$E$85)^23</f>
        <v>1409.15127494225</v>
      </c>
    </row>
    <row r="123" customFormat="false" ht="15" hidden="true" customHeight="true" outlineLevel="1" collapsed="false">
      <c r="A123" s="95" t="s">
        <v>473</v>
      </c>
      <c r="B123" s="95" t="n">
        <v>0</v>
      </c>
      <c r="C123" s="97" t="n">
        <f aca="false">B123*(1-$F$85)+C122</f>
        <v>240</v>
      </c>
      <c r="D123" s="97" t="n">
        <f aca="false">C123*(1-$F$85)+D122</f>
        <v>463.2</v>
      </c>
      <c r="E123" s="97" t="n">
        <f aca="false">D123*(1-$F$85)+E122</f>
        <v>673.656</v>
      </c>
      <c r="F123" s="97" t="n">
        <f aca="false">E123*(1-$F$85)+F122</f>
        <v>874.93848</v>
      </c>
      <c r="G123" s="97" t="n">
        <f aca="false">F123*(1-$F$85)+G122</f>
        <v>1070.2150584</v>
      </c>
      <c r="H123" s="97" t="n">
        <f aca="false">G123*(1-$F$85)+H122</f>
        <v>1262.321538072</v>
      </c>
      <c r="I123" s="97" t="n">
        <f aca="false">H123*(1-$F$85)+I122</f>
        <v>1453.82314486776</v>
      </c>
      <c r="J123" s="97" t="n">
        <f aca="false">I123*(1-$F$85)+J122</f>
        <v>1647.06749764468</v>
      </c>
      <c r="K123" s="97" t="n">
        <f aca="false">J123*(1-$F$85)+K122</f>
        <v>1844.23062346563</v>
      </c>
      <c r="L123" s="97" t="n">
        <f aca="false">K123*(1-$F$85)+L122</f>
        <v>2047.35714045085</v>
      </c>
      <c r="M123" s="97" t="n">
        <f aca="false">L123*(1-$F$85)+M122</f>
        <v>2258.39556872869</v>
      </c>
      <c r="N123" s="97" t="n">
        <f aca="false">M123*(1-$F$85)+N122</f>
        <v>2479.22959271249</v>
      </c>
      <c r="O123" s="97" t="n">
        <f aca="false">N123*(1-$F$85)+O122</f>
        <v>2711.70598184218</v>
      </c>
      <c r="P123" s="97" t="n">
        <f aca="false">O123*(1-$F$85)+P122</f>
        <v>2957.65977884533</v>
      </c>
      <c r="Q123" s="97" t="n">
        <f aca="false">P123*(1-$F$85)+Q122</f>
        <v>3218.93728184037</v>
      </c>
      <c r="R123" s="97" t="n">
        <f aca="false">Q123*(1-$F$85)+R122</f>
        <v>3497.4172769719</v>
      </c>
      <c r="S123" s="97" t="n">
        <f aca="false">R123*(1-$F$85)+S122</f>
        <v>3795.0309198263</v>
      </c>
      <c r="T123" s="97" t="n">
        <f aca="false">S123*(1-$F$85)+T122</f>
        <v>4113.78061500457</v>
      </c>
      <c r="U123" s="97" t="n">
        <f aca="false">T123*(1-$F$85)+U122</f>
        <v>4455.75820255827</v>
      </c>
      <c r="V123" s="97" t="n">
        <f aca="false">U123*(1-$F$85)+V122</f>
        <v>4823.16272636326</v>
      </c>
      <c r="W123" s="97" t="n">
        <f aca="false">V123*(1-$F$85)+W122</f>
        <v>5218.31803193261</v>
      </c>
      <c r="X123" s="97" t="n">
        <f aca="false">W123*(1-$F$85)+X122</f>
        <v>5643.69041882846</v>
      </c>
      <c r="Y123" s="97" t="n">
        <f aca="false">X123*(1-$F$85)+Y122</f>
        <v>6101.90655502479</v>
      </c>
      <c r="Z123" s="97" t="n">
        <f aca="false">Y123*(1-$F$85)+Z122</f>
        <v>6595.77184671332</v>
      </c>
    </row>
    <row r="124" customFormat="false" ht="15" hidden="true" customHeight="true" outlineLevel="1" collapsed="false">
      <c r="A124" s="95" t="s">
        <v>474</v>
      </c>
      <c r="B124" s="96" t="n">
        <f aca="false">-$I$85</f>
        <v>-400000000</v>
      </c>
      <c r="C124" s="96" t="n">
        <f aca="false">C123*($B$85-$C$85)-C122*$G$85-$H$85</f>
        <v>-258047918.3616</v>
      </c>
      <c r="D124" s="96" t="n">
        <f aca="false">D123*($B$85-$C$85)-D122*$G$85-$H$85</f>
        <v>-243632482.437888</v>
      </c>
      <c r="E124" s="96" t="n">
        <f aca="false">E123*($B$85-$C$85)-E122*$G$85-$H$85</f>
        <v>-231882702.049175</v>
      </c>
      <c r="F124" s="96" t="n">
        <f aca="false">F123*($B$85-$C$85)-F122*$G$85-$H$85</f>
        <v>-222438996.076927</v>
      </c>
      <c r="G124" s="96" t="n">
        <f aca="false">G123*($B$85-$C$85)-G122*$G$85-$H$85</f>
        <v>-214998941.947326</v>
      </c>
      <c r="H124" s="96" t="n">
        <f aca="false">H123*($B$85-$C$85)-H122*$G$85-$H$85</f>
        <v>-209308959.55972</v>
      </c>
      <c r="I124" s="96" t="n">
        <f aca="false">I123*($B$85-$C$85)-I122*$G$85-$H$85</f>
        <v>-205157263.242615</v>
      </c>
      <c r="J124" s="96" t="n">
        <f aca="false">J123*($B$85-$C$85)-J122*$G$85-$H$85</f>
        <v>-202367893.182423</v>
      </c>
      <c r="K124" s="96" t="n">
        <f aca="false">K123*($B$85-$C$85)-K122*$G$85-$H$85</f>
        <v>-200795666.185357</v>
      </c>
      <c r="L124" s="96" t="n">
        <f aca="false">L123*($B$85-$C$85)-L122*$G$85-$H$85</f>
        <v>-200321909.796274</v>
      </c>
      <c r="M124" s="96" t="n">
        <f aca="false">M123*($B$85-$C$85)-M122*$G$85-$H$85</f>
        <v>-200850864.348651</v>
      </c>
      <c r="N124" s="96" t="n">
        <f aca="false">N123*($B$85-$C$85)-N122*$G$85-$H$85</f>
        <v>-202306654.999917</v>
      </c>
      <c r="O124" s="96" t="n">
        <f aca="false">O123*($B$85-$C$85)-O122*$G$85-$H$85</f>
        <v>-204630750.677778</v>
      </c>
      <c r="P124" s="96" t="n">
        <f aca="false">P123*($B$85-$C$85)-P122*$G$85-$H$85</f>
        <v>-207779839.518188</v>
      </c>
      <c r="Q124" s="96" t="n">
        <f aca="false">Q123*($B$85-$C$85)-Q122*$G$85-$H$85</f>
        <v>-211724061.147903</v>
      </c>
      <c r="R124" s="96" t="n">
        <f aca="false">R123*($B$85-$C$85)-R122*$G$85-$H$85</f>
        <v>-216445545.337756</v>
      </c>
      <c r="S124" s="96" t="n">
        <f aca="false">S123*($B$85-$C$85)-S122*$G$85-$H$85</f>
        <v>-221937214.368094</v>
      </c>
      <c r="T124" s="96" t="n">
        <f aca="false">T123*($B$85-$C$85)-T122*$G$85-$H$85</f>
        <v>-228201813.110361</v>
      </c>
      <c r="U124" s="96" t="n">
        <f aca="false">U123*($B$85-$C$85)-U122*$G$85-$H$85</f>
        <v>-235251136.513087</v>
      </c>
      <c r="V124" s="96" t="n">
        <f aca="false">V123*($B$85-$C$85)-V122*$G$85-$H$85</f>
        <v>-243105429.034947</v>
      </c>
      <c r="W124" s="96" t="n">
        <f aca="false">W123*($B$85-$C$85)-W122*$G$85-$H$85</f>
        <v>-251792934.718433</v>
      </c>
      <c r="X124" s="96" t="n">
        <f aca="false">X123*($B$85-$C$85)-X122*$G$85-$H$85</f>
        <v>-261349580.152495</v>
      </c>
      <c r="Y124" s="96" t="n">
        <f aca="false">Y123*($B$85-$C$85)-Y122*$G$85-$H$85</f>
        <v>-271818775.622793</v>
      </c>
      <c r="Z124" s="96" t="n">
        <f aca="false">Z123*($B$85-$C$85)-Z122*$G$85-$H$85</f>
        <v>-283251322.372</v>
      </c>
    </row>
    <row r="125" customFormat="false" ht="15" hidden="true" customHeight="true" outlineLevel="1" collapsed="false">
      <c r="A125" s="95" t="s">
        <v>475</v>
      </c>
      <c r="B125" s="96" t="n">
        <f aca="false">$J$85+B124</f>
        <v>1100000000</v>
      </c>
      <c r="C125" s="96" t="n">
        <f aca="false">B125+C124</f>
        <v>841952081.6384</v>
      </c>
      <c r="D125" s="96" t="n">
        <f aca="false">C125+D124</f>
        <v>598319599.200512</v>
      </c>
      <c r="E125" s="96" t="n">
        <f aca="false">D125+E124</f>
        <v>366436897.151337</v>
      </c>
      <c r="F125" s="96" t="n">
        <f aca="false">E125+F124</f>
        <v>143997901.07441</v>
      </c>
      <c r="G125" s="96" t="n">
        <f aca="false">F125+G124</f>
        <v>-71001040.8729156</v>
      </c>
      <c r="H125" s="96" t="n">
        <f aca="false">G125+H124</f>
        <v>-280310000.432636</v>
      </c>
      <c r="I125" s="96" t="n">
        <f aca="false">H125+I124</f>
        <v>-485467263.67525</v>
      </c>
      <c r="J125" s="96" t="n">
        <f aca="false">I125+J124</f>
        <v>-687835156.857674</v>
      </c>
      <c r="K125" s="96" t="n">
        <f aca="false">J125+K124</f>
        <v>-888630823.04303</v>
      </c>
      <c r="L125" s="96" t="n">
        <f aca="false">K125+L124</f>
        <v>-1088952732.8393</v>
      </c>
      <c r="M125" s="96" t="n">
        <f aca="false">L125+M124</f>
        <v>-1289803597.18796</v>
      </c>
      <c r="N125" s="96" t="n">
        <f aca="false">M125+N124</f>
        <v>-1492110252.18787</v>
      </c>
      <c r="O125" s="96" t="n">
        <f aca="false">N125+O124</f>
        <v>-1696741002.86565</v>
      </c>
      <c r="P125" s="96" t="n">
        <f aca="false">O125+P124</f>
        <v>-1904520842.38384</v>
      </c>
      <c r="Q125" s="96" t="n">
        <f aca="false">P125+Q124</f>
        <v>-2116244903.53174</v>
      </c>
      <c r="R125" s="96" t="n">
        <f aca="false">Q125+R124</f>
        <v>-2332690448.8695</v>
      </c>
      <c r="S125" s="96" t="n">
        <f aca="false">R125+S124</f>
        <v>-2554627663.23759</v>
      </c>
      <c r="T125" s="96" t="n">
        <f aca="false">S125+T124</f>
        <v>-2782829476.34795</v>
      </c>
      <c r="U125" s="96" t="n">
        <f aca="false">T125+U124</f>
        <v>-3018080612.86104</v>
      </c>
      <c r="V125" s="96" t="n">
        <f aca="false">U125+V124</f>
        <v>-3261186041.89599</v>
      </c>
      <c r="W125" s="96" t="n">
        <f aca="false">V125+W124</f>
        <v>-3512978976.61442</v>
      </c>
      <c r="X125" s="96" t="n">
        <f aca="false">W125+X124</f>
        <v>-3774328556.76692</v>
      </c>
      <c r="Y125" s="96" t="n">
        <f aca="false">X125+Y124</f>
        <v>-4046147332.38971</v>
      </c>
      <c r="Z125" s="96" t="n">
        <f aca="false">Y125+Z124</f>
        <v>-4329398654.76171</v>
      </c>
    </row>
    <row r="126" customFormat="false" ht="15" hidden="true" customHeight="true" outlineLevel="1" collapsed="false">
      <c r="A126" s="95" t="s">
        <v>476</v>
      </c>
      <c r="B126" s="96" t="n">
        <f aca="false">B124</f>
        <v>-400000000</v>
      </c>
      <c r="C126" s="96" t="n">
        <f aca="false">B126+C124</f>
        <v>-658047918.3616</v>
      </c>
      <c r="D126" s="96" t="n">
        <f aca="false">C126+D124</f>
        <v>-901680400.799488</v>
      </c>
      <c r="E126" s="96" t="n">
        <f aca="false">D126+E124</f>
        <v>-1133563102.84866</v>
      </c>
      <c r="F126" s="96" t="n">
        <f aca="false">E126+F124</f>
        <v>-1356002098.92559</v>
      </c>
      <c r="G126" s="96" t="n">
        <f aca="false">F126+G124</f>
        <v>-1571001040.87292</v>
      </c>
      <c r="H126" s="96" t="n">
        <f aca="false">G126+H124</f>
        <v>-1780310000.43264</v>
      </c>
      <c r="I126" s="96" t="n">
        <f aca="false">H126+I124</f>
        <v>-1985467263.67525</v>
      </c>
      <c r="J126" s="96" t="n">
        <f aca="false">I126+J124</f>
        <v>-2187835156.85767</v>
      </c>
      <c r="K126" s="96" t="n">
        <f aca="false">J126+K124</f>
        <v>-2388630823.04303</v>
      </c>
      <c r="L126" s="96" t="n">
        <f aca="false">K126+L124</f>
        <v>-2588952732.8393</v>
      </c>
      <c r="M126" s="96" t="n">
        <f aca="false">L126+M124</f>
        <v>-2789803597.18795</v>
      </c>
      <c r="N126" s="96" t="n">
        <f aca="false">M126+N124</f>
        <v>-2992110252.18787</v>
      </c>
      <c r="O126" s="96" t="n">
        <f aca="false">N126+O124</f>
        <v>-3196741002.86565</v>
      </c>
      <c r="P126" s="96" t="n">
        <f aca="false">O126+P124</f>
        <v>-3404520842.38384</v>
      </c>
      <c r="Q126" s="96" t="n">
        <f aca="false">P126+Q124</f>
        <v>-3616244903.53174</v>
      </c>
      <c r="R126" s="96" t="n">
        <f aca="false">Q126+R124</f>
        <v>-3832690448.8695</v>
      </c>
      <c r="S126" s="96" t="n">
        <f aca="false">R126+S124</f>
        <v>-4054627663.23759</v>
      </c>
      <c r="T126" s="96" t="n">
        <f aca="false">S126+T124</f>
        <v>-4282829476.34795</v>
      </c>
      <c r="U126" s="96" t="n">
        <f aca="false">T126+U124</f>
        <v>-4518080612.86104</v>
      </c>
      <c r="V126" s="96" t="n">
        <f aca="false">U126+V124</f>
        <v>-4761186041.89599</v>
      </c>
      <c r="W126" s="96" t="n">
        <f aca="false">V126+W124</f>
        <v>-5012978976.61442</v>
      </c>
      <c r="X126" s="96" t="n">
        <f aca="false">W126+X124</f>
        <v>-5274328556.76691</v>
      </c>
      <c r="Y126" s="96" t="n">
        <f aca="false">X126+Y124</f>
        <v>-5546147332.38971</v>
      </c>
      <c r="Z126" s="96" t="n">
        <f aca="false">Y126+Z124</f>
        <v>-5829398654.76171</v>
      </c>
    </row>
    <row r="127" customFormat="false" ht="15" hidden="true" customHeight="true" outlineLevel="1" collapsed="false"/>
    <row r="128" customFormat="false" ht="15" hidden="true" customHeight="true" outlineLevel="1" collapsed="false">
      <c r="A128" s="95" t="s">
        <v>477</v>
      </c>
      <c r="C128" s="97" t="n">
        <f aca="false">$D$86*(1+$E$86)^0</f>
        <v>300</v>
      </c>
      <c r="D128" s="97" t="n">
        <f aca="false">$D$86*(1+$E$86)^1</f>
        <v>319.2</v>
      </c>
      <c r="E128" s="97" t="n">
        <f aca="false">$D$86*(1+$E$86)^2</f>
        <v>339.6288</v>
      </c>
      <c r="F128" s="97" t="n">
        <f aca="false">$D$86*(1+$E$86)^3</f>
        <v>361.3650432</v>
      </c>
      <c r="G128" s="97" t="n">
        <f aca="false">$D$86*(1+$E$86)^4</f>
        <v>384.4924059648</v>
      </c>
      <c r="H128" s="97" t="n">
        <f aca="false">$D$86*(1+$E$86)^5</f>
        <v>409.099919946547</v>
      </c>
      <c r="I128" s="97" t="n">
        <f aca="false">$D$86*(1+$E$86)^6</f>
        <v>435.282314823126</v>
      </c>
      <c r="J128" s="97" t="n">
        <f aca="false">$D$86*(1+$E$86)^7</f>
        <v>463.140382971806</v>
      </c>
      <c r="K128" s="97" t="n">
        <f aca="false">$D$86*(1+$E$86)^8</f>
        <v>492.781367482002</v>
      </c>
      <c r="L128" s="97" t="n">
        <f aca="false">$D$86*(1+$E$86)^9</f>
        <v>524.31937500085</v>
      </c>
      <c r="M128" s="97" t="n">
        <f aca="false">$D$86*(1+$E$86)^10</f>
        <v>557.875815000905</v>
      </c>
      <c r="N128" s="97" t="n">
        <f aca="false">$D$86*(1+$E$86)^11</f>
        <v>593.579867160963</v>
      </c>
      <c r="O128" s="97" t="n">
        <f aca="false">$D$86*(1+$E$86)^12</f>
        <v>631.568978659264</v>
      </c>
      <c r="P128" s="97" t="n">
        <f aca="false">$D$86*(1+$E$86)^13</f>
        <v>671.989393293457</v>
      </c>
      <c r="Q128" s="97" t="n">
        <f aca="false">$D$86*(1+$E$86)^14</f>
        <v>714.996714464239</v>
      </c>
      <c r="R128" s="97" t="n">
        <f aca="false">$D$86*(1+$E$86)^15</f>
        <v>760.75650418995</v>
      </c>
      <c r="S128" s="97" t="n">
        <f aca="false">$D$86*(1+$E$86)^16</f>
        <v>809.444920458107</v>
      </c>
      <c r="T128" s="97" t="n">
        <f aca="false">$D$86*(1+$E$86)^17</f>
        <v>861.249395367426</v>
      </c>
      <c r="U128" s="97" t="n">
        <f aca="false">$D$86*(1+$E$86)^18</f>
        <v>916.369356670941</v>
      </c>
      <c r="V128" s="97" t="n">
        <f aca="false">$D$86*(1+$E$86)^19</f>
        <v>975.016995497881</v>
      </c>
      <c r="W128" s="97" t="n">
        <f aca="false">$D$86*(1+$E$86)^20</f>
        <v>1037.41808320975</v>
      </c>
      <c r="X128" s="97" t="n">
        <f aca="false">$D$86*(1+$E$86)^21</f>
        <v>1103.81284053517</v>
      </c>
      <c r="Y128" s="97" t="n">
        <f aca="false">$D$86*(1+$E$86)^22</f>
        <v>1174.45686232942</v>
      </c>
      <c r="Z128" s="97" t="n">
        <f aca="false">$D$86*(1+$E$86)^23</f>
        <v>1249.6221015185</v>
      </c>
    </row>
    <row r="129" customFormat="false" ht="15" hidden="true" customHeight="true" outlineLevel="1" collapsed="false">
      <c r="A129" s="95" t="s">
        <v>478</v>
      </c>
      <c r="B129" s="95" t="n">
        <v>0</v>
      </c>
      <c r="C129" s="97" t="n">
        <f aca="false">B129*(1-$F$86)+C128</f>
        <v>300</v>
      </c>
      <c r="D129" s="97" t="n">
        <f aca="false">C129*(1-$F$86)+D128</f>
        <v>574.2</v>
      </c>
      <c r="E129" s="97" t="n">
        <f aca="false">D129*(1-$F$86)+E128</f>
        <v>827.6988</v>
      </c>
      <c r="F129" s="97" t="n">
        <f aca="false">E129*(1-$F$86)+F128</f>
        <v>1064.9090232</v>
      </c>
      <c r="G129" s="97" t="n">
        <f aca="false">F129*(1-$F$86)+G128</f>
        <v>1289.6650756848</v>
      </c>
      <c r="H129" s="97" t="n">
        <f aca="false">G129*(1-$F$86)+H128</f>
        <v>1505.31523427863</v>
      </c>
      <c r="I129" s="97" t="n">
        <f aca="false">H129*(1-$F$86)+I128</f>
        <v>1714.80026395996</v>
      </c>
      <c r="J129" s="97" t="n">
        <f aca="false">I129*(1-$F$86)+J128</f>
        <v>1920.72060733777</v>
      </c>
      <c r="K129" s="97" t="n">
        <f aca="false">J129*(1-$F$86)+K128</f>
        <v>2125.39388371911</v>
      </c>
      <c r="L129" s="97" t="n">
        <f aca="false">K129*(1-$F$86)+L128</f>
        <v>2330.90417616209</v>
      </c>
      <c r="M129" s="97" t="n">
        <f aca="false">L129*(1-$F$86)+M128</f>
        <v>2539.14436473868</v>
      </c>
      <c r="N129" s="97" t="n">
        <f aca="false">M129*(1-$F$86)+N128</f>
        <v>2751.85257718884</v>
      </c>
      <c r="O129" s="97" t="n">
        <f aca="false">N129*(1-$F$86)+O128</f>
        <v>2970.64366926978</v>
      </c>
      <c r="P129" s="97" t="n">
        <f aca="false">O129*(1-$F$86)+P128</f>
        <v>3197.03651217277</v>
      </c>
      <c r="Q129" s="97" t="n">
        <f aca="false">P129*(1-$F$86)+Q128</f>
        <v>3432.47774981109</v>
      </c>
      <c r="R129" s="97" t="n">
        <f aca="false">Q129*(1-$F$86)+R128</f>
        <v>3678.36259152938</v>
      </c>
      <c r="S129" s="97" t="n">
        <f aca="false">R129*(1-$F$86)+S128</f>
        <v>3936.05312325808</v>
      </c>
      <c r="T129" s="97" t="n">
        <f aca="false">S129*(1-$F$86)+T128</f>
        <v>4206.89455013679</v>
      </c>
      <c r="U129" s="97" t="n">
        <f aca="false">T129*(1-$F$86)+U128</f>
        <v>4492.22972428722</v>
      </c>
      <c r="V129" s="97" t="n">
        <f aca="false">U129*(1-$F$86)+V128</f>
        <v>4793.41226114202</v>
      </c>
      <c r="W129" s="97" t="n">
        <f aca="false">V129*(1-$F$86)+W128</f>
        <v>5111.81850518046</v>
      </c>
      <c r="X129" s="97" t="n">
        <f aca="false">W129*(1-$F$86)+X128</f>
        <v>5448.85856993856</v>
      </c>
      <c r="Y129" s="97" t="n">
        <f aca="false">X129*(1-$F$86)+Y128</f>
        <v>5805.98664677719</v>
      </c>
      <c r="Z129" s="97" t="n">
        <f aca="false">Y129*(1-$F$86)+Z128</f>
        <v>6184.71075127912</v>
      </c>
    </row>
    <row r="130" customFormat="false" ht="15" hidden="true" customHeight="true" outlineLevel="1" collapsed="false">
      <c r="A130" s="95" t="s">
        <v>479</v>
      </c>
      <c r="B130" s="96" t="n">
        <f aca="false">-$I$86</f>
        <v>-400000000</v>
      </c>
      <c r="C130" s="96" t="n">
        <f aca="false">C129*($B$86-$C$86)-C128*$G$86-$H$86</f>
        <v>-292559897.952</v>
      </c>
      <c r="D130" s="96" t="n">
        <f aca="false">D129*($B$86-$C$86)-D128*$G$86-$H$86</f>
        <v>-271779644.680128</v>
      </c>
      <c r="E130" s="96" t="n">
        <f aca="false">E129*($B$86-$C$86)-E128*$G$86-$H$86</f>
        <v>-254443068.209976</v>
      </c>
      <c r="F130" s="96" t="n">
        <f aca="false">F129*($B$86-$C$86)-F128*$G$86-$H$86</f>
        <v>-240054521.905187</v>
      </c>
      <c r="G130" s="96" t="n">
        <f aca="false">G129*($B$86-$C$86)-G128*$G$86-$H$86</f>
        <v>-228194044.037425</v>
      </c>
      <c r="H130" s="96" t="n">
        <f aca="false">H129*($B$86-$C$86)-H128*$G$86-$H$86</f>
        <v>-218506090.67658</v>
      </c>
      <c r="I130" s="96" t="n">
        <f aca="false">I129*($B$86-$C$86)-I128*$G$86-$H$86</f>
        <v>-210689964.127528</v>
      </c>
      <c r="J130" s="96" t="n">
        <f aca="false">J129*($B$86-$C$86)-J128*$G$86-$H$86</f>
        <v>-204491682.932189</v>
      </c>
      <c r="K130" s="96" t="n">
        <f aca="false">K129*($B$86-$C$86)-K128*$G$86-$H$86</f>
        <v>-199697077.575273</v>
      </c>
      <c r="L130" s="96" t="n">
        <f aca="false">L129*($B$86-$C$86)-L128*$G$86-$H$86</f>
        <v>-196125928.435202</v>
      </c>
      <c r="M130" s="96" t="n">
        <f aca="false">M129*($B$86-$C$86)-M128*$G$86-$H$86</f>
        <v>-193626990.065899</v>
      </c>
      <c r="N130" s="96" t="n">
        <f aca="false">N129*($B$86-$C$86)-N128*$G$86-$H$86</f>
        <v>-192073769.309334</v>
      </c>
      <c r="O130" s="96" t="n">
        <f aca="false">O129*($B$86-$C$86)-O128*$G$86-$H$86</f>
        <v>-191360944.642466</v>
      </c>
      <c r="P130" s="96" t="n">
        <f aca="false">P129*($B$86-$C$86)-P128*$G$86-$H$86</f>
        <v>-191401331.082318</v>
      </c>
      <c r="Q130" s="96" t="n">
        <f aca="false">Q129*($B$86-$C$86)-Q128*$G$86-$H$86</f>
        <v>-192123309.356911</v>
      </c>
      <c r="R130" s="96" t="n">
        <f aca="false">R129*($B$86-$C$86)-R128*$G$86-$H$86</f>
        <v>-193468650.278279</v>
      </c>
      <c r="S130" s="96" t="n">
        <f aca="false">S129*($B$86-$C$86)-S128*$G$86-$H$86</f>
        <v>-195390675.650236</v>
      </c>
      <c r="T130" s="96" t="n">
        <f aca="false">T129*($B$86-$C$86)-T128*$G$86-$H$86</f>
        <v>-197852705.882876</v>
      </c>
      <c r="U130" s="96" t="n">
        <f aca="false">U129*($B$86-$C$86)-U128*$G$86-$H$86</f>
        <v>-200826752.001751</v>
      </c>
      <c r="V130" s="96" t="n">
        <f aca="false">V129*($B$86-$C$86)-V128*$G$86-$H$86</f>
        <v>-204292416.130879</v>
      </c>
      <c r="W130" s="96" t="n">
        <f aca="false">W129*($B$86-$C$86)-W128*$G$86-$H$86</f>
        <v>-208235969.964118</v>
      </c>
      <c r="X130" s="96" t="n">
        <f aca="false">X129*($B$86-$C$86)-X128*$G$86-$H$86</f>
        <v>-212649585.362555</v>
      </c>
      <c r="Y130" s="96" t="n">
        <f aca="false">Y129*($B$86-$C$86)-Y128*$G$86-$H$86</f>
        <v>-217530695.148383</v>
      </c>
      <c r="Z130" s="96" t="n">
        <f aca="false">Z129*($B$86-$C$86)-Z128*$G$86-$H$86</f>
        <v>-222881465.512109</v>
      </c>
    </row>
    <row r="131" customFormat="false" ht="15" hidden="true" customHeight="true" outlineLevel="1" collapsed="false">
      <c r="A131" s="95" t="s">
        <v>480</v>
      </c>
      <c r="B131" s="96" t="n">
        <f aca="false">$J$86+B130</f>
        <v>1100000000</v>
      </c>
      <c r="C131" s="96" t="n">
        <f aca="false">B131+C130</f>
        <v>807440102.048</v>
      </c>
      <c r="D131" s="96" t="n">
        <f aca="false">C131+D130</f>
        <v>535660457.367872</v>
      </c>
      <c r="E131" s="96" t="n">
        <f aca="false">D131+E130</f>
        <v>281217389.157896</v>
      </c>
      <c r="F131" s="96" t="n">
        <f aca="false">E131+F130</f>
        <v>41162867.252709</v>
      </c>
      <c r="G131" s="96" t="n">
        <f aca="false">F131+G130</f>
        <v>-187031176.784716</v>
      </c>
      <c r="H131" s="96" t="n">
        <f aca="false">G131+H130</f>
        <v>-405537267.461296</v>
      </c>
      <c r="I131" s="96" t="n">
        <f aca="false">H131+I130</f>
        <v>-616227231.588824</v>
      </c>
      <c r="J131" s="96" t="n">
        <f aca="false">I131+J130</f>
        <v>-820718914.521013</v>
      </c>
      <c r="K131" s="96" t="n">
        <f aca="false">J131+K130</f>
        <v>-1020415992.09629</v>
      </c>
      <c r="L131" s="96" t="n">
        <f aca="false">K131+L130</f>
        <v>-1216541920.53149</v>
      </c>
      <c r="M131" s="96" t="n">
        <f aca="false">L131+M130</f>
        <v>-1410168910.59739</v>
      </c>
      <c r="N131" s="96" t="n">
        <f aca="false">M131+N130</f>
        <v>-1602242679.90672</v>
      </c>
      <c r="O131" s="96" t="n">
        <f aca="false">N131+O130</f>
        <v>-1793603624.54919</v>
      </c>
      <c r="P131" s="96" t="n">
        <f aca="false">O131+P130</f>
        <v>-1985004955.6315</v>
      </c>
      <c r="Q131" s="96" t="n">
        <f aca="false">P131+Q130</f>
        <v>-2177128264.98842</v>
      </c>
      <c r="R131" s="96" t="n">
        <f aca="false">Q131+R130</f>
        <v>-2370596915.26669</v>
      </c>
      <c r="S131" s="96" t="n">
        <f aca="false">R131+S130</f>
        <v>-2565987590.91693</v>
      </c>
      <c r="T131" s="96" t="n">
        <f aca="false">S131+T130</f>
        <v>-2763840296.79981</v>
      </c>
      <c r="U131" s="96" t="n">
        <f aca="false">T131+U130</f>
        <v>-2964667048.80156</v>
      </c>
      <c r="V131" s="96" t="n">
        <f aca="false">U131+V130</f>
        <v>-3168959464.93244</v>
      </c>
      <c r="W131" s="96" t="n">
        <f aca="false">V131+W130</f>
        <v>-3377195434.89655</v>
      </c>
      <c r="X131" s="96" t="n">
        <f aca="false">W131+X130</f>
        <v>-3589845020.25911</v>
      </c>
      <c r="Y131" s="96" t="n">
        <f aca="false">X131+Y130</f>
        <v>-3807375715.40749</v>
      </c>
      <c r="Z131" s="96" t="n">
        <f aca="false">Y131+Z130</f>
        <v>-4030257180.9196</v>
      </c>
    </row>
    <row r="132" customFormat="false" ht="15" hidden="true" customHeight="true" outlineLevel="1" collapsed="false">
      <c r="A132" s="95" t="s">
        <v>481</v>
      </c>
      <c r="B132" s="96" t="n">
        <f aca="false">B130</f>
        <v>-400000000</v>
      </c>
      <c r="C132" s="96" t="n">
        <f aca="false">B132+C130</f>
        <v>-692559897.952</v>
      </c>
      <c r="D132" s="96" t="n">
        <f aca="false">C132+D130</f>
        <v>-964339542.632128</v>
      </c>
      <c r="E132" s="96" t="n">
        <f aca="false">D132+E130</f>
        <v>-1218782610.8421</v>
      </c>
      <c r="F132" s="96" t="n">
        <f aca="false">E132+F130</f>
        <v>-1458837132.74729</v>
      </c>
      <c r="G132" s="96" t="n">
        <f aca="false">F132+G130</f>
        <v>-1687031176.78472</v>
      </c>
      <c r="H132" s="96" t="n">
        <f aca="false">G132+H130</f>
        <v>-1905537267.4613</v>
      </c>
      <c r="I132" s="96" t="n">
        <f aca="false">H132+I130</f>
        <v>-2116227231.58882</v>
      </c>
      <c r="J132" s="96" t="n">
        <f aca="false">I132+J130</f>
        <v>-2320718914.52101</v>
      </c>
      <c r="K132" s="96" t="n">
        <f aca="false">J132+K130</f>
        <v>-2520415992.09629</v>
      </c>
      <c r="L132" s="96" t="n">
        <f aca="false">K132+L130</f>
        <v>-2716541920.53149</v>
      </c>
      <c r="M132" s="96" t="n">
        <f aca="false">L132+M130</f>
        <v>-2910168910.59739</v>
      </c>
      <c r="N132" s="96" t="n">
        <f aca="false">M132+N130</f>
        <v>-3102242679.90672</v>
      </c>
      <c r="O132" s="96" t="n">
        <f aca="false">N132+O130</f>
        <v>-3293603624.54919</v>
      </c>
      <c r="P132" s="96" t="n">
        <f aca="false">O132+P130</f>
        <v>-3485004955.6315</v>
      </c>
      <c r="Q132" s="96" t="n">
        <f aca="false">P132+Q130</f>
        <v>-3677128264.98842</v>
      </c>
      <c r="R132" s="96" t="n">
        <f aca="false">Q132+R130</f>
        <v>-3870596915.26669</v>
      </c>
      <c r="S132" s="96" t="n">
        <f aca="false">R132+S130</f>
        <v>-4065987590.91693</v>
      </c>
      <c r="T132" s="96" t="n">
        <f aca="false">S132+T130</f>
        <v>-4263840296.79981</v>
      </c>
      <c r="U132" s="96" t="n">
        <f aca="false">T132+U130</f>
        <v>-4464667048.80156</v>
      </c>
      <c r="V132" s="96" t="n">
        <f aca="false">U132+V130</f>
        <v>-4668959464.93244</v>
      </c>
      <c r="W132" s="96" t="n">
        <f aca="false">V132+W130</f>
        <v>-4877195434.89655</v>
      </c>
      <c r="X132" s="96" t="n">
        <f aca="false">W132+X130</f>
        <v>-5089845020.25911</v>
      </c>
      <c r="Y132" s="96" t="n">
        <f aca="false">X132+Y130</f>
        <v>-5307375715.40749</v>
      </c>
      <c r="Z132" s="96" t="n">
        <f aca="false">Y132+Z130</f>
        <v>-5530257180.9196</v>
      </c>
    </row>
    <row r="133" customFormat="false" ht="15" hidden="true" customHeight="true" outlineLevel="1" collapsed="false"/>
    <row r="134" customFormat="false" ht="15" hidden="true" customHeight="true" outlineLevel="1" collapsed="false">
      <c r="A134" s="95" t="s">
        <v>482</v>
      </c>
      <c r="C134" s="97" t="n">
        <f aca="false">$D$87*(1+$E$87)^0</f>
        <v>300</v>
      </c>
      <c r="D134" s="97" t="n">
        <f aca="false">$D$87*(1+$E$87)^1</f>
        <v>324</v>
      </c>
      <c r="E134" s="97" t="n">
        <f aca="false">$D$87*(1+$E$87)^2</f>
        <v>349.92</v>
      </c>
      <c r="F134" s="97" t="n">
        <f aca="false">$D$87*(1+$E$87)^3</f>
        <v>377.9136</v>
      </c>
      <c r="G134" s="97" t="n">
        <f aca="false">$D$87*(1+$E$87)^4</f>
        <v>408.146688</v>
      </c>
      <c r="H134" s="97" t="n">
        <f aca="false">$D$87*(1+$E$87)^5</f>
        <v>440.79842304</v>
      </c>
      <c r="I134" s="97" t="n">
        <f aca="false">$D$87*(1+$E$87)^6</f>
        <v>476.0622968832</v>
      </c>
      <c r="J134" s="97" t="n">
        <f aca="false">$D$87*(1+$E$87)^7</f>
        <v>514.147280633856</v>
      </c>
      <c r="K134" s="97" t="n">
        <f aca="false">$D$87*(1+$E$87)^8</f>
        <v>555.279063084565</v>
      </c>
      <c r="L134" s="97" t="n">
        <f aca="false">$D$87*(1+$E$87)^9</f>
        <v>599.70138813133</v>
      </c>
      <c r="M134" s="97" t="n">
        <f aca="false">$D$87*(1+$E$87)^10</f>
        <v>647.677499181836</v>
      </c>
      <c r="N134" s="97" t="n">
        <f aca="false">$D$87*(1+$E$87)^11</f>
        <v>699.491699116383</v>
      </c>
      <c r="O134" s="97" t="n">
        <f aca="false">$D$87*(1+$E$87)^12</f>
        <v>755.451035045694</v>
      </c>
      <c r="P134" s="97" t="n">
        <f aca="false">$D$87*(1+$E$87)^13</f>
        <v>815.88711784935</v>
      </c>
      <c r="Q134" s="97" t="n">
        <f aca="false">$D$87*(1+$E$87)^14</f>
        <v>881.158087277298</v>
      </c>
      <c r="R134" s="97" t="n">
        <f aca="false">$D$87*(1+$E$87)^15</f>
        <v>951.650734259482</v>
      </c>
      <c r="S134" s="97" t="n">
        <f aca="false">$D$87*(1+$E$87)^16</f>
        <v>1027.78279300024</v>
      </c>
      <c r="T134" s="97" t="n">
        <f aca="false">$D$87*(1+$E$87)^17</f>
        <v>1110.00541644026</v>
      </c>
      <c r="U134" s="97" t="n">
        <f aca="false">$D$87*(1+$E$87)^18</f>
        <v>1198.80584975548</v>
      </c>
      <c r="V134" s="97" t="n">
        <f aca="false">$D$87*(1+$E$87)^19</f>
        <v>1294.71031773592</v>
      </c>
      <c r="W134" s="97" t="n">
        <f aca="false">$D$87*(1+$E$87)^20</f>
        <v>1398.28714315479</v>
      </c>
      <c r="X134" s="97" t="n">
        <f aca="false">$D$87*(1+$E$87)^21</f>
        <v>1510.15011460718</v>
      </c>
      <c r="Y134" s="97" t="n">
        <f aca="false">$D$87*(1+$E$87)^22</f>
        <v>1630.96212377575</v>
      </c>
      <c r="Z134" s="97" t="n">
        <f aca="false">$D$87*(1+$E$87)^23</f>
        <v>1761.43909367781</v>
      </c>
    </row>
    <row r="135" customFormat="false" ht="15" hidden="true" customHeight="true" outlineLevel="1" collapsed="false">
      <c r="A135" s="95" t="s">
        <v>483</v>
      </c>
      <c r="B135" s="95" t="n">
        <v>0</v>
      </c>
      <c r="C135" s="97" t="n">
        <f aca="false">B135*(1-$F$87)+C134</f>
        <v>300</v>
      </c>
      <c r="D135" s="97" t="n">
        <f aca="false">C135*(1-$F$87)+D134</f>
        <v>579</v>
      </c>
      <c r="E135" s="97" t="n">
        <f aca="false">D135*(1-$F$87)+E134</f>
        <v>842.07</v>
      </c>
      <c r="F135" s="97" t="n">
        <f aca="false">E135*(1-$F$87)+F134</f>
        <v>1093.6731</v>
      </c>
      <c r="G135" s="97" t="n">
        <f aca="false">F135*(1-$F$87)+G134</f>
        <v>1337.768823</v>
      </c>
      <c r="H135" s="97" t="n">
        <f aca="false">G135*(1-$F$87)+H134</f>
        <v>1577.90192259</v>
      </c>
      <c r="I135" s="97" t="n">
        <f aca="false">H135*(1-$F$87)+I134</f>
        <v>1817.2789310847</v>
      </c>
      <c r="J135" s="97" t="n">
        <f aca="false">I135*(1-$F$87)+J134</f>
        <v>2058.83437205585</v>
      </c>
      <c r="K135" s="97" t="n">
        <f aca="false">J135*(1-$F$87)+K134</f>
        <v>2305.28827933204</v>
      </c>
      <c r="L135" s="97" t="n">
        <f aca="false">K135*(1-$F$87)+L134</f>
        <v>2559.19642556356</v>
      </c>
      <c r="M135" s="97" t="n">
        <f aca="false">L135*(1-$F$87)+M134</f>
        <v>2822.99446091086</v>
      </c>
      <c r="N135" s="97" t="n">
        <f aca="false">M135*(1-$F$87)+N134</f>
        <v>3099.03699089062</v>
      </c>
      <c r="O135" s="97" t="n">
        <f aca="false">N135*(1-$F$87)+O134</f>
        <v>3389.63247730272</v>
      </c>
      <c r="P135" s="97" t="n">
        <f aca="false">O135*(1-$F$87)+P134</f>
        <v>3697.07472355666</v>
      </c>
      <c r="Q135" s="97" t="n">
        <f aca="false">P135*(1-$F$87)+Q134</f>
        <v>4023.67160230046</v>
      </c>
      <c r="R135" s="97" t="n">
        <f aca="false">Q135*(1-$F$87)+R134</f>
        <v>4371.77159621487</v>
      </c>
      <c r="S135" s="97" t="n">
        <f aca="false">R135*(1-$F$87)+S134</f>
        <v>4743.78864978288</v>
      </c>
      <c r="T135" s="97" t="n">
        <f aca="false">S135*(1-$F$87)+T134</f>
        <v>5142.22576875571</v>
      </c>
      <c r="U135" s="97" t="n">
        <f aca="false">T135*(1-$F$87)+U134</f>
        <v>5569.69775319783</v>
      </c>
      <c r="V135" s="97" t="n">
        <f aca="false">U135*(1-$F$87)+V134</f>
        <v>6028.95340795408</v>
      </c>
      <c r="W135" s="97" t="n">
        <f aca="false">V135*(1-$F$87)+W134</f>
        <v>6522.89753991576</v>
      </c>
      <c r="X135" s="97" t="n">
        <f aca="false">W135*(1-$F$87)+X134</f>
        <v>7054.61302353557</v>
      </c>
      <c r="Y135" s="97" t="n">
        <f aca="false">X135*(1-$F$87)+Y134</f>
        <v>7627.38319378098</v>
      </c>
      <c r="Z135" s="97" t="n">
        <f aca="false">Y135*(1-$F$87)+Z134</f>
        <v>8244.71480839165</v>
      </c>
    </row>
    <row r="136" customFormat="false" ht="15" hidden="true" customHeight="true" outlineLevel="1" collapsed="false">
      <c r="A136" s="95" t="s">
        <v>484</v>
      </c>
      <c r="B136" s="96" t="n">
        <f aca="false">-$I$87</f>
        <v>-400000000</v>
      </c>
      <c r="C136" s="96" t="n">
        <f aca="false">C135*($B$87-$C$87)-C134*$G$87-$H$87</f>
        <v>-316559897.952</v>
      </c>
      <c r="D136" s="96" t="n">
        <f aca="false">D135*($B$87-$C$87)-D134*$G$87-$H$87</f>
        <v>-298540603.04736</v>
      </c>
      <c r="E136" s="96" t="n">
        <f aca="false">E135*($B$87-$C$87)-E134*$G$87-$H$87</f>
        <v>-283853377.561469</v>
      </c>
      <c r="F136" s="96" t="n">
        <f aca="false">F135*($B$87-$C$87)-F134*$G$87-$H$87</f>
        <v>-272048745.096158</v>
      </c>
      <c r="G136" s="96" t="n">
        <f aca="false">G135*($B$87-$C$87)-G134*$G$87-$H$87</f>
        <v>-262748677.434157</v>
      </c>
      <c r="H136" s="96" t="n">
        <f aca="false">H135*($B$87-$C$87)-H134*$G$87-$H$87</f>
        <v>-255636199.44965</v>
      </c>
      <c r="I136" s="96" t="n">
        <f aca="false">I135*($B$87-$C$87)-I134*$G$87-$H$87</f>
        <v>-250446579.053268</v>
      </c>
      <c r="J136" s="96" t="n">
        <f aca="false">J135*($B$87-$C$87)-J134*$G$87-$H$87</f>
        <v>-246959866.478029</v>
      </c>
      <c r="K136" s="96" t="n">
        <f aca="false">K135*($B$87-$C$87)-K134*$G$87-$H$87</f>
        <v>-244994582.731696</v>
      </c>
      <c r="L136" s="96" t="n">
        <f aca="false">L135*($B$87-$C$87)-L134*$G$87-$H$87</f>
        <v>-244402387.245342</v>
      </c>
      <c r="M136" s="96" t="n">
        <f aca="false">M135*($B$87-$C$87)-M134*$G$87-$H$87</f>
        <v>-245063580.435814</v>
      </c>
      <c r="N136" s="96" t="n">
        <f aca="false">N135*($B$87-$C$87)-N134*$G$87-$H$87</f>
        <v>-246883318.749896</v>
      </c>
      <c r="O136" s="96" t="n">
        <f aca="false">O135*($B$87-$C$87)-O134*$G$87-$H$87</f>
        <v>-249788438.347223</v>
      </c>
      <c r="P136" s="96" t="n">
        <f aca="false">P135*($B$87-$C$87)-P134*$G$87-$H$87</f>
        <v>-253724799.397735</v>
      </c>
      <c r="Q136" s="96" t="n">
        <f aca="false">Q135*($B$87-$C$87)-Q134*$G$87-$H$87</f>
        <v>-258655076.434879</v>
      </c>
      <c r="R136" s="96" t="n">
        <f aca="false">R135*($B$87-$C$87)-R134*$G$87-$H$87</f>
        <v>-264556931.672195</v>
      </c>
      <c r="S136" s="96" t="n">
        <f aca="false">S135*($B$87-$C$87)-S134*$G$87-$H$87</f>
        <v>-271421517.960117</v>
      </c>
      <c r="T136" s="96" t="n">
        <f aca="false">T135*($B$87-$C$87)-T134*$G$87-$H$87</f>
        <v>-279252266.387952</v>
      </c>
      <c r="U136" s="96" t="n">
        <f aca="false">U135*($B$87-$C$87)-U134*$G$87-$H$87</f>
        <v>-288063920.641359</v>
      </c>
      <c r="V136" s="96" t="n">
        <f aca="false">V135*($B$87-$C$87)-V134*$G$87-$H$87</f>
        <v>-297881786.293683</v>
      </c>
      <c r="W136" s="96" t="n">
        <f aca="false">W135*($B$87-$C$87)-W134*$G$87-$H$87</f>
        <v>-308741168.398041</v>
      </c>
      <c r="X136" s="96" t="n">
        <f aca="false">X135*($B$87-$C$87)-X134*$G$87-$H$87</f>
        <v>-320686975.190618</v>
      </c>
      <c r="Y136" s="96" t="n">
        <f aca="false">Y135*($B$87-$C$87)-Y134*$G$87-$H$87</f>
        <v>-333773469.528491</v>
      </c>
      <c r="Z136" s="96" t="n">
        <f aca="false">Z135*($B$87-$C$87)-Z134*$G$87-$H$87</f>
        <v>-348064152.965</v>
      </c>
    </row>
    <row r="137" customFormat="false" ht="15" hidden="true" customHeight="true" outlineLevel="1" collapsed="false">
      <c r="A137" s="95" t="s">
        <v>485</v>
      </c>
      <c r="B137" s="96" t="n">
        <f aca="false">$J$87+B136</f>
        <v>1100000000</v>
      </c>
      <c r="C137" s="96" t="n">
        <f aca="false">B137+C136</f>
        <v>783440102.048</v>
      </c>
      <c r="D137" s="96" t="n">
        <f aca="false">C137+D136</f>
        <v>484899499.00064</v>
      </c>
      <c r="E137" s="96" t="n">
        <f aca="false">D137+E136</f>
        <v>201046121.439171</v>
      </c>
      <c r="F137" s="96" t="n">
        <f aca="false">E137+F136</f>
        <v>-71002623.6569873</v>
      </c>
      <c r="G137" s="96" t="n">
        <f aca="false">F137+G136</f>
        <v>-333751301.091144</v>
      </c>
      <c r="H137" s="96" t="n">
        <f aca="false">G137+H136</f>
        <v>-589387500.540795</v>
      </c>
      <c r="I137" s="96" t="n">
        <f aca="false">H137+I136</f>
        <v>-839834079.594063</v>
      </c>
      <c r="J137" s="96" t="n">
        <f aca="false">I137+J136</f>
        <v>-1086793946.07209</v>
      </c>
      <c r="K137" s="96" t="n">
        <f aca="false">J137+K136</f>
        <v>-1331788528.80379</v>
      </c>
      <c r="L137" s="96" t="n">
        <f aca="false">K137+L136</f>
        <v>-1576190916.04913</v>
      </c>
      <c r="M137" s="96" t="n">
        <f aca="false">L137+M136</f>
        <v>-1821254496.48494</v>
      </c>
      <c r="N137" s="96" t="n">
        <f aca="false">M137+N136</f>
        <v>-2068137815.23484</v>
      </c>
      <c r="O137" s="96" t="n">
        <f aca="false">N137+O136</f>
        <v>-2317926253.58206</v>
      </c>
      <c r="P137" s="96" t="n">
        <f aca="false">O137+P136</f>
        <v>-2571651052.9798</v>
      </c>
      <c r="Q137" s="96" t="n">
        <f aca="false">P137+Q136</f>
        <v>-2830306129.41468</v>
      </c>
      <c r="R137" s="96" t="n">
        <f aca="false">Q137+R136</f>
        <v>-3094863061.08687</v>
      </c>
      <c r="S137" s="96" t="n">
        <f aca="false">R137+S136</f>
        <v>-3366284579.04699</v>
      </c>
      <c r="T137" s="96" t="n">
        <f aca="false">S137+T136</f>
        <v>-3645536845.43494</v>
      </c>
      <c r="U137" s="96" t="n">
        <f aca="false">T137+U136</f>
        <v>-3933600766.0763</v>
      </c>
      <c r="V137" s="96" t="n">
        <f aca="false">U137+V136</f>
        <v>-4231482552.36998</v>
      </c>
      <c r="W137" s="96" t="n">
        <f aca="false">V137+W136</f>
        <v>-4540223720.76802</v>
      </c>
      <c r="X137" s="96" t="n">
        <f aca="false">W137+X136</f>
        <v>-4860910695.95864</v>
      </c>
      <c r="Y137" s="96" t="n">
        <f aca="false">X137+Y136</f>
        <v>-5194684165.48713</v>
      </c>
      <c r="Z137" s="96" t="n">
        <f aca="false">Y137+Z136</f>
        <v>-5542748318.45213</v>
      </c>
    </row>
    <row r="138" customFormat="false" ht="15" hidden="true" customHeight="true" outlineLevel="1" collapsed="false">
      <c r="A138" s="95" t="s">
        <v>486</v>
      </c>
      <c r="B138" s="96" t="n">
        <f aca="false">B136</f>
        <v>-400000000</v>
      </c>
      <c r="C138" s="96" t="n">
        <f aca="false">B138+C136</f>
        <v>-716559897.952</v>
      </c>
      <c r="D138" s="96" t="n">
        <f aca="false">C138+D136</f>
        <v>-1015100500.99936</v>
      </c>
      <c r="E138" s="96" t="n">
        <f aca="false">D138+E136</f>
        <v>-1298953878.56083</v>
      </c>
      <c r="F138" s="96" t="n">
        <f aca="false">E138+F136</f>
        <v>-1571002623.65699</v>
      </c>
      <c r="G138" s="96" t="n">
        <f aca="false">F138+G136</f>
        <v>-1833751301.09114</v>
      </c>
      <c r="H138" s="96" t="n">
        <f aca="false">G138+H136</f>
        <v>-2089387500.54079</v>
      </c>
      <c r="I138" s="96" t="n">
        <f aca="false">H138+I136</f>
        <v>-2339834079.59406</v>
      </c>
      <c r="J138" s="96" t="n">
        <f aca="false">I138+J136</f>
        <v>-2586793946.07209</v>
      </c>
      <c r="K138" s="96" t="n">
        <f aca="false">J138+K136</f>
        <v>-2831788528.80379</v>
      </c>
      <c r="L138" s="96" t="n">
        <f aca="false">K138+L136</f>
        <v>-3076190916.04913</v>
      </c>
      <c r="M138" s="96" t="n">
        <f aca="false">L138+M136</f>
        <v>-3321254496.48494</v>
      </c>
      <c r="N138" s="96" t="n">
        <f aca="false">M138+N136</f>
        <v>-3568137815.23484</v>
      </c>
      <c r="O138" s="96" t="n">
        <f aca="false">N138+O136</f>
        <v>-3817926253.58206</v>
      </c>
      <c r="P138" s="96" t="n">
        <f aca="false">O138+P136</f>
        <v>-4071651052.9798</v>
      </c>
      <c r="Q138" s="96" t="n">
        <f aca="false">P138+Q136</f>
        <v>-4330306129.41468</v>
      </c>
      <c r="R138" s="96" t="n">
        <f aca="false">Q138+R136</f>
        <v>-4594863061.08687</v>
      </c>
      <c r="S138" s="96" t="n">
        <f aca="false">R138+S136</f>
        <v>-4866284579.04699</v>
      </c>
      <c r="T138" s="96" t="n">
        <f aca="false">S138+T136</f>
        <v>-5145536845.43494</v>
      </c>
      <c r="U138" s="96" t="n">
        <f aca="false">T138+U136</f>
        <v>-5433600766.0763</v>
      </c>
      <c r="V138" s="96" t="n">
        <f aca="false">U138+V136</f>
        <v>-5731482552.36998</v>
      </c>
      <c r="W138" s="96" t="n">
        <f aca="false">V138+W136</f>
        <v>-6040223720.76802</v>
      </c>
      <c r="X138" s="96" t="n">
        <f aca="false">W138+X136</f>
        <v>-6360910695.95864</v>
      </c>
      <c r="Y138" s="96" t="n">
        <f aca="false">X138+Y136</f>
        <v>-6694684165.48713</v>
      </c>
      <c r="Z138" s="96" t="n">
        <f aca="false">Y138+Z136</f>
        <v>-7042748318.45213</v>
      </c>
    </row>
    <row r="139" customFormat="false" ht="15" hidden="true" customHeight="true" outlineLevel="1" collapsed="false"/>
    <row r="140" customFormat="false" ht="15" hidden="true" customHeight="true" outlineLevel="1" collapsed="false">
      <c r="A140" s="95" t="s">
        <v>487</v>
      </c>
      <c r="C140" s="97" t="n">
        <f aca="false">$D$88*(1+$E$88)^0</f>
        <v>300</v>
      </c>
      <c r="D140" s="97" t="n">
        <f aca="false">$D$88*(1+$E$88)^1</f>
        <v>324</v>
      </c>
      <c r="E140" s="97" t="n">
        <f aca="false">$D$88*(1+$E$88)^2</f>
        <v>349.92</v>
      </c>
      <c r="F140" s="97" t="n">
        <f aca="false">$D$88*(1+$E$88)^3</f>
        <v>377.9136</v>
      </c>
      <c r="G140" s="97" t="n">
        <f aca="false">$D$88*(1+$E$88)^4</f>
        <v>408.146688</v>
      </c>
      <c r="H140" s="97" t="n">
        <f aca="false">$D$88*(1+$E$88)^5</f>
        <v>440.79842304</v>
      </c>
      <c r="I140" s="97" t="n">
        <f aca="false">$D$88*(1+$E$88)^6</f>
        <v>476.0622968832</v>
      </c>
      <c r="J140" s="97" t="n">
        <f aca="false">$D$88*(1+$E$88)^7</f>
        <v>514.147280633856</v>
      </c>
      <c r="K140" s="97" t="n">
        <f aca="false">$D$88*(1+$E$88)^8</f>
        <v>555.279063084565</v>
      </c>
      <c r="L140" s="97" t="n">
        <f aca="false">$D$88*(1+$E$88)^9</f>
        <v>599.70138813133</v>
      </c>
      <c r="M140" s="97" t="n">
        <f aca="false">$D$88*(1+$E$88)^10</f>
        <v>647.677499181836</v>
      </c>
      <c r="N140" s="97" t="n">
        <f aca="false">$D$88*(1+$E$88)^11</f>
        <v>699.491699116383</v>
      </c>
      <c r="O140" s="97" t="n">
        <f aca="false">$D$88*(1+$E$88)^12</f>
        <v>755.451035045694</v>
      </c>
      <c r="P140" s="97" t="n">
        <f aca="false">$D$88*(1+$E$88)^13</f>
        <v>815.88711784935</v>
      </c>
      <c r="Q140" s="97" t="n">
        <f aca="false">$D$88*(1+$E$88)^14</f>
        <v>881.158087277298</v>
      </c>
      <c r="R140" s="97" t="n">
        <f aca="false">$D$88*(1+$E$88)^15</f>
        <v>951.650734259482</v>
      </c>
      <c r="S140" s="97" t="n">
        <f aca="false">$D$88*(1+$E$88)^16</f>
        <v>1027.78279300024</v>
      </c>
      <c r="T140" s="97" t="n">
        <f aca="false">$D$88*(1+$E$88)^17</f>
        <v>1110.00541644026</v>
      </c>
      <c r="U140" s="97" t="n">
        <f aca="false">$D$88*(1+$E$88)^18</f>
        <v>1198.80584975548</v>
      </c>
      <c r="V140" s="97" t="n">
        <f aca="false">$D$88*(1+$E$88)^19</f>
        <v>1294.71031773592</v>
      </c>
      <c r="W140" s="97" t="n">
        <f aca="false">$D$88*(1+$E$88)^20</f>
        <v>1398.28714315479</v>
      </c>
      <c r="X140" s="97" t="n">
        <f aca="false">$D$88*(1+$E$88)^21</f>
        <v>1510.15011460718</v>
      </c>
      <c r="Y140" s="97" t="n">
        <f aca="false">$D$88*(1+$E$88)^22</f>
        <v>1630.96212377575</v>
      </c>
      <c r="Z140" s="97" t="n">
        <f aca="false">$D$88*(1+$E$88)^23</f>
        <v>1761.43909367781</v>
      </c>
    </row>
    <row r="141" customFormat="false" ht="15" hidden="true" customHeight="true" outlineLevel="1" collapsed="false">
      <c r="A141" s="95" t="s">
        <v>488</v>
      </c>
      <c r="B141" s="95" t="n">
        <v>0</v>
      </c>
      <c r="C141" s="97" t="n">
        <f aca="false">B141*(1-$F$88)+C140</f>
        <v>300</v>
      </c>
      <c r="D141" s="97" t="n">
        <f aca="false">C141*(1-$F$88)+D140</f>
        <v>579</v>
      </c>
      <c r="E141" s="97" t="n">
        <f aca="false">D141*(1-$F$88)+E140</f>
        <v>842.07</v>
      </c>
      <c r="F141" s="97" t="n">
        <f aca="false">E141*(1-$F$88)+F140</f>
        <v>1093.6731</v>
      </c>
      <c r="G141" s="97" t="n">
        <f aca="false">F141*(1-$F$88)+G140</f>
        <v>1337.768823</v>
      </c>
      <c r="H141" s="97" t="n">
        <f aca="false">G141*(1-$F$88)+H140</f>
        <v>1577.90192259</v>
      </c>
      <c r="I141" s="97" t="n">
        <f aca="false">H141*(1-$F$88)+I140</f>
        <v>1817.2789310847</v>
      </c>
      <c r="J141" s="97" t="n">
        <f aca="false">I141*(1-$F$88)+J140</f>
        <v>2058.83437205585</v>
      </c>
      <c r="K141" s="97" t="n">
        <f aca="false">J141*(1-$F$88)+K140</f>
        <v>2305.28827933204</v>
      </c>
      <c r="L141" s="97" t="n">
        <f aca="false">K141*(1-$F$88)+L140</f>
        <v>2559.19642556356</v>
      </c>
      <c r="M141" s="97" t="n">
        <f aca="false">L141*(1-$F$88)+M140</f>
        <v>2822.99446091086</v>
      </c>
      <c r="N141" s="97" t="n">
        <f aca="false">M141*(1-$F$88)+N140</f>
        <v>3099.03699089062</v>
      </c>
      <c r="O141" s="97" t="n">
        <f aca="false">N141*(1-$F$88)+O140</f>
        <v>3389.63247730272</v>
      </c>
      <c r="P141" s="97" t="n">
        <f aca="false">O141*(1-$F$88)+P140</f>
        <v>3697.07472355666</v>
      </c>
      <c r="Q141" s="97" t="n">
        <f aca="false">P141*(1-$F$88)+Q140</f>
        <v>4023.67160230046</v>
      </c>
      <c r="R141" s="97" t="n">
        <f aca="false">Q141*(1-$F$88)+R140</f>
        <v>4371.77159621487</v>
      </c>
      <c r="S141" s="97" t="n">
        <f aca="false">R141*(1-$F$88)+S140</f>
        <v>4743.78864978288</v>
      </c>
      <c r="T141" s="97" t="n">
        <f aca="false">S141*(1-$F$88)+T140</f>
        <v>5142.22576875571</v>
      </c>
      <c r="U141" s="97" t="n">
        <f aca="false">T141*(1-$F$88)+U140</f>
        <v>5569.69775319783</v>
      </c>
      <c r="V141" s="97" t="n">
        <f aca="false">U141*(1-$F$88)+V140</f>
        <v>6028.95340795408</v>
      </c>
      <c r="W141" s="97" t="n">
        <f aca="false">V141*(1-$F$88)+W140</f>
        <v>6522.89753991576</v>
      </c>
      <c r="X141" s="97" t="n">
        <f aca="false">W141*(1-$F$88)+X140</f>
        <v>7054.61302353557</v>
      </c>
      <c r="Y141" s="97" t="n">
        <f aca="false">X141*(1-$F$88)+Y140</f>
        <v>7627.38319378098</v>
      </c>
      <c r="Z141" s="97" t="n">
        <f aca="false">Y141*(1-$F$88)+Z140</f>
        <v>8244.71480839165</v>
      </c>
    </row>
    <row r="142" customFormat="false" ht="15" hidden="true" customHeight="true" outlineLevel="1" collapsed="false">
      <c r="A142" s="95" t="s">
        <v>489</v>
      </c>
      <c r="B142" s="96" t="n">
        <f aca="false">-$I$88</f>
        <v>-400000000</v>
      </c>
      <c r="C142" s="96" t="n">
        <f aca="false">C141*($B$88-$C$88)-C140*$G$88-$H$88</f>
        <v>-302176552.32</v>
      </c>
      <c r="D142" s="96" t="n">
        <f aca="false">D141*($B$88-$C$88)-D140*$G$88-$H$88</f>
        <v>-293100745.9776</v>
      </c>
      <c r="E142" s="96" t="n">
        <f aca="false">E141*($B$88-$C$88)-E140*$G$88-$H$88</f>
        <v>-286846364.707008</v>
      </c>
      <c r="F142" s="96" t="n">
        <f aca="false">F141*($B$88-$C$88)-F140*$G$88-$H$88</f>
        <v>-283106999.077089</v>
      </c>
      <c r="G142" s="96" t="n">
        <f aca="false">G141*($B$88-$C$88)-G140*$G$88-$H$88</f>
        <v>-281631545.417748</v>
      </c>
      <c r="H142" s="96" t="n">
        <f aca="false">H141*($B$88-$C$88)-H140*$G$88-$H$88</f>
        <v>-282216657.503486</v>
      </c>
      <c r="I142" s="96" t="n">
        <f aca="false">I141*($B$88-$C$88)-I140*$G$88-$H$88</f>
        <v>-284700390.288235</v>
      </c>
      <c r="J142" s="96" t="n">
        <f aca="false">J141*($B$88-$C$88)-J140*$G$88-$H$88</f>
        <v>-288956861.668094</v>
      </c>
      <c r="K142" s="96" t="n">
        <f aca="false">K141*($B$88-$C$88)-K140*$G$88-$H$88</f>
        <v>-294891784.734821</v>
      </c>
      <c r="L142" s="96" t="n">
        <f aca="false">L141*($B$88-$C$88)-L140*$G$88-$H$88</f>
        <v>-302438745.526895</v>
      </c>
      <c r="M142" s="96" t="n">
        <f aca="false">M141*($B$88-$C$88)-M140*$G$88-$H$88</f>
        <v>-311556120.480341</v>
      </c>
      <c r="N142" s="96" t="n">
        <f aca="false">N141*($B$88-$C$88)-N140*$G$88-$H$88</f>
        <v>-322224544.133369</v>
      </c>
      <c r="O142" s="96" t="n">
        <f aca="false">O141*($B$88-$C$88)-O140*$G$88-$H$88</f>
        <v>-334444851.576449</v>
      </c>
      <c r="P142" s="96" t="n">
        <f aca="false">P141*($B$88-$C$88)-P140*$G$88-$H$88</f>
        <v>-348236432.028114</v>
      </c>
      <c r="Q142" s="96" t="n">
        <f aca="false">Q141*($B$88-$C$88)-Q140*$G$88-$H$88</f>
        <v>-363635940.06708</v>
      </c>
      <c r="R142" s="96" t="n">
        <f aca="false">R141*($B$88-$C$88)-R140*$G$88-$H$88</f>
        <v>-380696319.727655</v>
      </c>
      <c r="S142" s="96" t="n">
        <f aca="false">S141*($B$88-$C$88)-S140*$G$88-$H$88</f>
        <v>-399486104.092795</v>
      </c>
      <c r="T142" s="96" t="n">
        <f aca="false">T141*($B$88-$C$88)-T140*$G$88-$H$88</f>
        <v>-420088959.389108</v>
      </c>
      <c r="U142" s="96" t="n">
        <f aca="false">U141*($B$88-$C$88)-U140*$G$88-$H$88</f>
        <v>-442603448.063791</v>
      </c>
      <c r="V142" s="96" t="n">
        <f aca="false">V141*($B$88-$C$88)-V140*$G$88-$H$88</f>
        <v>-467142990.043917</v>
      </c>
      <c r="W142" s="96" t="n">
        <f aca="false">W141*($B$88-$C$88)-W140*$G$88-$H$88</f>
        <v>-493836005.462199</v>
      </c>
      <c r="X142" s="96" t="n">
        <f aca="false">X141*($B$88-$C$88)-X140*$G$88-$H$88</f>
        <v>-522826225.681728</v>
      </c>
      <c r="Y142" s="96" t="n">
        <f aca="false">Y141*($B$88-$C$88)-Y140*$G$88-$H$88</f>
        <v>-554273162.551437</v>
      </c>
      <c r="Z142" s="96" t="n">
        <f aca="false">Z141*($B$88-$C$88)-Z140*$G$88-$H$88</f>
        <v>-588352728.548446</v>
      </c>
    </row>
    <row r="143" customFormat="false" ht="15" hidden="true" customHeight="true" outlineLevel="1" collapsed="false">
      <c r="A143" s="95" t="s">
        <v>490</v>
      </c>
      <c r="B143" s="96" t="n">
        <f aca="false">$J$88+B142</f>
        <v>1100000000</v>
      </c>
      <c r="C143" s="96" t="n">
        <f aca="false">B143+C142</f>
        <v>797823447.68</v>
      </c>
      <c r="D143" s="96" t="n">
        <f aca="false">C143+D142</f>
        <v>504722701.7024</v>
      </c>
      <c r="E143" s="96" t="n">
        <f aca="false">D143+E142</f>
        <v>217876336.995392</v>
      </c>
      <c r="F143" s="96" t="n">
        <f aca="false">E143+F142</f>
        <v>-65230662.0816966</v>
      </c>
      <c r="G143" s="96" t="n">
        <f aca="false">F143+G142</f>
        <v>-346862207.499444</v>
      </c>
      <c r="H143" s="96" t="n">
        <f aca="false">G143+H142</f>
        <v>-629078865.00293</v>
      </c>
      <c r="I143" s="96" t="n">
        <f aca="false">H143+I142</f>
        <v>-913779255.291165</v>
      </c>
      <c r="J143" s="96" t="n">
        <f aca="false">I143+J142</f>
        <v>-1202736116.95926</v>
      </c>
      <c r="K143" s="96" t="n">
        <f aca="false">J143+K142</f>
        <v>-1497627901.69408</v>
      </c>
      <c r="L143" s="96" t="n">
        <f aca="false">K143+L142</f>
        <v>-1800066647.22098</v>
      </c>
      <c r="M143" s="96" t="n">
        <f aca="false">L143+M142</f>
        <v>-2111622767.70132</v>
      </c>
      <c r="N143" s="96" t="n">
        <f aca="false">M143+N142</f>
        <v>-2433847311.83469</v>
      </c>
      <c r="O143" s="96" t="n">
        <f aca="false">N143+O142</f>
        <v>-2768292163.41114</v>
      </c>
      <c r="P143" s="96" t="n">
        <f aca="false">O143+P142</f>
        <v>-3116528595.43925</v>
      </c>
      <c r="Q143" s="96" t="n">
        <f aca="false">P143+Q142</f>
        <v>-3480164535.50633</v>
      </c>
      <c r="R143" s="96" t="n">
        <f aca="false">Q143+R142</f>
        <v>-3860860855.23398</v>
      </c>
      <c r="S143" s="96" t="n">
        <f aca="false">R143+S142</f>
        <v>-4260346959.32678</v>
      </c>
      <c r="T143" s="96" t="n">
        <f aca="false">S143+T142</f>
        <v>-4680435918.71589</v>
      </c>
      <c r="U143" s="96" t="n">
        <f aca="false">T143+U142</f>
        <v>-5123039366.77968</v>
      </c>
      <c r="V143" s="96" t="n">
        <f aca="false">U143+V142</f>
        <v>-5590182356.8236</v>
      </c>
      <c r="W143" s="96" t="n">
        <f aca="false">V143+W142</f>
        <v>-6084018362.28579</v>
      </c>
      <c r="X143" s="96" t="n">
        <f aca="false">W143+X142</f>
        <v>-6606844587.96752</v>
      </c>
      <c r="Y143" s="96" t="n">
        <f aca="false">X143+Y142</f>
        <v>-7161117750.51896</v>
      </c>
      <c r="Z143" s="96" t="n">
        <f aca="false">Y143+Z142</f>
        <v>-7749470479.06741</v>
      </c>
    </row>
    <row r="144" customFormat="false" ht="15" hidden="true" customHeight="true" outlineLevel="1" collapsed="false">
      <c r="A144" s="95" t="s">
        <v>491</v>
      </c>
      <c r="B144" s="96" t="n">
        <f aca="false">B142</f>
        <v>-400000000</v>
      </c>
      <c r="C144" s="96" t="n">
        <f aca="false">B144+C142</f>
        <v>-702176552.32</v>
      </c>
      <c r="D144" s="96" t="n">
        <f aca="false">C144+D142</f>
        <v>-995277298.2976</v>
      </c>
      <c r="E144" s="96" t="n">
        <f aca="false">D144+E142</f>
        <v>-1282123663.00461</v>
      </c>
      <c r="F144" s="96" t="n">
        <f aca="false">E144+F142</f>
        <v>-1565230662.0817</v>
      </c>
      <c r="G144" s="96" t="n">
        <f aca="false">F144+G142</f>
        <v>-1846862207.49944</v>
      </c>
      <c r="H144" s="96" t="n">
        <f aca="false">G144+H142</f>
        <v>-2129078865.00293</v>
      </c>
      <c r="I144" s="96" t="n">
        <f aca="false">H144+I142</f>
        <v>-2413779255.29117</v>
      </c>
      <c r="J144" s="96" t="n">
        <f aca="false">I144+J142</f>
        <v>-2702736116.95926</v>
      </c>
      <c r="K144" s="96" t="n">
        <f aca="false">J144+K142</f>
        <v>-2997627901.69408</v>
      </c>
      <c r="L144" s="96" t="n">
        <f aca="false">K144+L142</f>
        <v>-3300066647.22098</v>
      </c>
      <c r="M144" s="96" t="n">
        <f aca="false">L144+M142</f>
        <v>-3611622767.70132</v>
      </c>
      <c r="N144" s="96" t="n">
        <f aca="false">M144+N142</f>
        <v>-3933847311.83469</v>
      </c>
      <c r="O144" s="96" t="n">
        <f aca="false">N144+O142</f>
        <v>-4268292163.41114</v>
      </c>
      <c r="P144" s="96" t="n">
        <f aca="false">O144+P142</f>
        <v>-4616528595.43925</v>
      </c>
      <c r="Q144" s="96" t="n">
        <f aca="false">P144+Q142</f>
        <v>-4980164535.50633</v>
      </c>
      <c r="R144" s="96" t="n">
        <f aca="false">Q144+R142</f>
        <v>-5360860855.23399</v>
      </c>
      <c r="S144" s="96" t="n">
        <f aca="false">R144+S142</f>
        <v>-5760346959.32678</v>
      </c>
      <c r="T144" s="96" t="n">
        <f aca="false">S144+T142</f>
        <v>-6180435918.71589</v>
      </c>
      <c r="U144" s="96" t="n">
        <f aca="false">T144+U142</f>
        <v>-6623039366.77968</v>
      </c>
      <c r="V144" s="96" t="n">
        <f aca="false">U144+V142</f>
        <v>-7090182356.8236</v>
      </c>
      <c r="W144" s="96" t="n">
        <f aca="false">V144+W142</f>
        <v>-7584018362.2858</v>
      </c>
      <c r="X144" s="96" t="n">
        <f aca="false">W144+X142</f>
        <v>-8106844587.96752</v>
      </c>
      <c r="Y144" s="96" t="n">
        <f aca="false">X144+Y142</f>
        <v>-8661117750.51896</v>
      </c>
      <c r="Z144" s="96" t="n">
        <f aca="false">Y144+Z142</f>
        <v>-9249470479.06741</v>
      </c>
    </row>
    <row r="145" customFormat="false" ht="15" hidden="true" customHeight="true" outlineLevel="1" collapsed="false"/>
  </sheetData>
  <sheetProtection sheet="true" formatColumns="false" formatRows="false"/>
  <mergeCells count="7">
    <mergeCell ref="E71:H71"/>
    <mergeCell ref="E72:H72"/>
    <mergeCell ref="E73:H73"/>
    <mergeCell ref="E74:H74"/>
    <mergeCell ref="E75:H75"/>
    <mergeCell ref="E76:H76"/>
    <mergeCell ref="E77:H77"/>
  </mergeCells>
  <conditionalFormatting sqref="A58:H64">
    <cfRule type="expression" priority="2" aboveAverage="0" equalAverage="0" bottom="0" percent="0" rank="0" text="" dxfId="0">
      <formula>$H58=1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48.01"/>
    <col collapsed="false" customWidth="true" hidden="false" outlineLevel="0" max="4" min="2" style="0" width="18"/>
    <col collapsed="false" customWidth="true" hidden="false" outlineLevel="0" max="5" min="5" style="0" width="15"/>
    <col collapsed="false" customWidth="true" hidden="false" outlineLevel="0" max="6" min="6" style="0" width="40"/>
    <col collapsed="false" customWidth="true" hidden="false" outlineLevel="0" max="7" min="7" style="0" width="52"/>
  </cols>
  <sheetData>
    <row r="1" customFormat="false" ht="17.25" hidden="false" customHeight="true" outlineLevel="0" collapsed="false">
      <c r="A1" s="1" t="s">
        <v>492</v>
      </c>
    </row>
    <row r="2" customFormat="false" ht="15" hidden="false" customHeight="true" outlineLevel="0" collapsed="false">
      <c r="A2" s="8" t="s">
        <v>493</v>
      </c>
    </row>
    <row r="3" customFormat="false" ht="15" hidden="false" customHeight="true" outlineLevel="0" collapsed="false">
      <c r="A3" s="99" t="s">
        <v>494</v>
      </c>
    </row>
    <row r="4" customFormat="false" ht="15" hidden="false" customHeight="true" outlineLevel="0" collapsed="false">
      <c r="A4" s="14" t="s">
        <v>286</v>
      </c>
      <c r="B4" s="14" t="s">
        <v>287</v>
      </c>
      <c r="C4" s="14" t="s">
        <v>288</v>
      </c>
      <c r="D4" s="14" t="s">
        <v>289</v>
      </c>
      <c r="E4" s="14" t="s">
        <v>165</v>
      </c>
      <c r="F4" s="14" t="s">
        <v>166</v>
      </c>
      <c r="G4" s="14" t="s">
        <v>290</v>
      </c>
    </row>
    <row r="5" customFormat="false" ht="15.75" hidden="false" customHeight="true" outlineLevel="0" collapsed="false">
      <c r="A5" s="38" t="s">
        <v>495</v>
      </c>
      <c r="B5" s="100"/>
      <c r="C5" s="100"/>
      <c r="D5" s="100"/>
      <c r="E5" s="40" t="s">
        <v>496</v>
      </c>
      <c r="F5" s="69"/>
      <c r="G5" s="42" t="s">
        <v>497</v>
      </c>
    </row>
    <row r="6" customFormat="false" ht="31.5" hidden="false" customHeight="true" outlineLevel="0" collapsed="false">
      <c r="A6" s="64" t="s">
        <v>498</v>
      </c>
      <c r="B6" s="100"/>
      <c r="C6" s="100"/>
      <c r="D6" s="100"/>
      <c r="E6" s="40" t="s">
        <v>499</v>
      </c>
      <c r="F6" s="69"/>
      <c r="G6" s="42" t="s">
        <v>500</v>
      </c>
    </row>
    <row r="7" customFormat="false" ht="30" hidden="false" customHeight="true" outlineLevel="0" collapsed="false">
      <c r="A7" s="38" t="s">
        <v>501</v>
      </c>
      <c r="B7" s="44"/>
      <c r="C7" s="44"/>
      <c r="D7" s="44"/>
      <c r="E7" s="40" t="s">
        <v>190</v>
      </c>
      <c r="F7" s="69"/>
      <c r="G7" s="42" t="s">
        <v>502</v>
      </c>
    </row>
    <row r="8" customFormat="false" ht="15.75" hidden="false" customHeight="true" outlineLevel="0" collapsed="false">
      <c r="A8" s="38" t="s">
        <v>503</v>
      </c>
      <c r="B8" s="68"/>
      <c r="C8" s="68"/>
      <c r="D8" s="68"/>
      <c r="E8" s="40" t="s">
        <v>201</v>
      </c>
      <c r="F8" s="69"/>
      <c r="G8" s="42" t="s">
        <v>504</v>
      </c>
    </row>
    <row r="9" customFormat="false" ht="15.75" hidden="false" customHeight="true" outlineLevel="0" collapsed="false">
      <c r="A9" s="38" t="s">
        <v>505</v>
      </c>
      <c r="B9" s="68"/>
      <c r="C9" s="68"/>
      <c r="D9" s="68"/>
      <c r="E9" s="40" t="s">
        <v>239</v>
      </c>
      <c r="F9" s="69"/>
      <c r="G9" s="42" t="s">
        <v>506</v>
      </c>
    </row>
    <row r="10" customFormat="false" ht="15.75" hidden="false" customHeight="true" outlineLevel="0" collapsed="false">
      <c r="A10" s="38" t="s">
        <v>507</v>
      </c>
      <c r="B10" s="68"/>
      <c r="C10" s="68"/>
      <c r="D10" s="68"/>
      <c r="E10" s="40" t="s">
        <v>508</v>
      </c>
      <c r="F10" s="69"/>
      <c r="G10" s="42" t="s">
        <v>509</v>
      </c>
    </row>
    <row r="11" customFormat="false" ht="15.75" hidden="false" customHeight="true" outlineLevel="0" collapsed="false">
      <c r="A11" s="38" t="s">
        <v>510</v>
      </c>
      <c r="B11" s="68"/>
      <c r="C11" s="68"/>
      <c r="D11" s="68"/>
      <c r="E11" s="40" t="s">
        <v>508</v>
      </c>
      <c r="F11" s="69"/>
      <c r="G11" s="42" t="s">
        <v>511</v>
      </c>
    </row>
    <row r="12" customFormat="false" ht="15.75" hidden="false" customHeight="true" outlineLevel="0" collapsed="false">
      <c r="A12" s="38" t="s">
        <v>512</v>
      </c>
      <c r="B12" s="68"/>
      <c r="C12" s="68"/>
      <c r="D12" s="68"/>
      <c r="E12" s="40" t="s">
        <v>239</v>
      </c>
      <c r="F12" s="69"/>
      <c r="G12" s="42" t="s">
        <v>513</v>
      </c>
    </row>
    <row r="13" customFormat="false" ht="15" hidden="false" customHeight="true" outlineLevel="0" collapsed="false">
      <c r="A13" s="38" t="s">
        <v>313</v>
      </c>
      <c r="B13" s="44" t="n">
        <v>0.15</v>
      </c>
      <c r="C13" s="44" t="n">
        <v>0.15</v>
      </c>
      <c r="D13" s="44" t="n">
        <v>0.15</v>
      </c>
      <c r="E13" s="40" t="s">
        <v>190</v>
      </c>
      <c r="F13" s="69" t="s">
        <v>514</v>
      </c>
      <c r="G13" s="40"/>
    </row>
    <row r="15" customFormat="false" ht="26.25" hidden="false" customHeight="true" outlineLevel="0" collapsed="false">
      <c r="A15" s="14" t="s">
        <v>515</v>
      </c>
      <c r="B15" s="14" t="s">
        <v>287</v>
      </c>
      <c r="C15" s="14" t="s">
        <v>288</v>
      </c>
      <c r="D15" s="14" t="s">
        <v>289</v>
      </c>
      <c r="E15" s="14" t="s">
        <v>326</v>
      </c>
    </row>
    <row r="16" customFormat="false" ht="15" hidden="false" customHeight="true" outlineLevel="0" collapsed="false">
      <c r="A16" s="45" t="s">
        <v>516</v>
      </c>
      <c r="B16" s="46" t="n">
        <f aca="false">B5*B6*52/12*B7*B8+B9</f>
        <v>0</v>
      </c>
      <c r="C16" s="46" t="n">
        <f aca="false">C5*C6*52/12*C7*C8+C9</f>
        <v>0</v>
      </c>
      <c r="D16" s="46" t="n">
        <f aca="false">D5*D6*52/12*D7*D8+D9</f>
        <v>0</v>
      </c>
    </row>
    <row r="17" customFormat="false" ht="15" hidden="false" customHeight="true" outlineLevel="0" collapsed="false">
      <c r="A17" s="45" t="s">
        <v>517</v>
      </c>
      <c r="B17" s="46" t="n">
        <f aca="false">B16-B12</f>
        <v>0</v>
      </c>
      <c r="C17" s="46" t="n">
        <f aca="false">C16-C12</f>
        <v>0</v>
      </c>
      <c r="D17" s="46" t="n">
        <f aca="false">D16-D12</f>
        <v>0</v>
      </c>
      <c r="E17" s="0" t="s">
        <v>378</v>
      </c>
    </row>
    <row r="18" customFormat="false" ht="15" hidden="false" customHeight="true" outlineLevel="0" collapsed="false">
      <c r="A18" s="45" t="s">
        <v>518</v>
      </c>
      <c r="B18" s="46" t="n">
        <f aca="false">B10+B11</f>
        <v>0</v>
      </c>
      <c r="C18" s="46" t="n">
        <f aca="false">C10+C11</f>
        <v>0</v>
      </c>
      <c r="D18" s="46" t="n">
        <f aca="false">D10+D11</f>
        <v>0</v>
      </c>
    </row>
    <row r="19" customFormat="false" ht="15" hidden="false" customHeight="true" outlineLevel="0" collapsed="false">
      <c r="A19" s="45" t="s">
        <v>519</v>
      </c>
      <c r="B19" s="101" t="str">
        <f aca="false">IF(B5=0,"Chưa điền",IF(B17&gt;0,B18/B17,"Không hoàn vốn"))</f>
        <v>Chưa điền</v>
      </c>
      <c r="C19" s="101" t="str">
        <f aca="false">IF(C5=0,"Chưa điền",IF(C17&gt;0,C18/C17,"Không hoàn vốn"))</f>
        <v>Chưa điền</v>
      </c>
      <c r="D19" s="101" t="str">
        <f aca="false">IF(D5=0,"Chưa điền",IF(D17&gt;0,D18/D17,"Không hoàn vốn"))</f>
        <v>Chưa điền</v>
      </c>
      <c r="E19" s="0" t="s">
        <v>335</v>
      </c>
    </row>
    <row r="20" customFormat="false" ht="15" hidden="false" customHeight="true" outlineLevel="0" collapsed="false">
      <c r="A20" s="45" t="s">
        <v>520</v>
      </c>
      <c r="B20" s="49" t="n">
        <f aca="false">IFERROR((12*B17-B18)/B18,0)</f>
        <v>0</v>
      </c>
      <c r="C20" s="49" t="n">
        <f aca="false">IFERROR((12*C17-C18)/C18,0)</f>
        <v>0</v>
      </c>
      <c r="D20" s="49" t="n">
        <f aca="false">IFERROR((12*D17-D18)/D18,0)</f>
        <v>0</v>
      </c>
      <c r="E20" s="0" t="s">
        <v>378</v>
      </c>
    </row>
    <row r="21" customFormat="false" ht="15" hidden="false" customHeight="true" outlineLevel="0" collapsed="false">
      <c r="A21" s="45" t="s">
        <v>521</v>
      </c>
      <c r="B21" s="47" t="n">
        <f aca="false">PV(B13/12,24,-B17)-B18</f>
        <v>-0</v>
      </c>
      <c r="C21" s="47" t="n">
        <f aca="false">PV(C13/12,24,-C17)-C18</f>
        <v>-0</v>
      </c>
      <c r="D21" s="47" t="n">
        <f aca="false">PV(D13/12,24,-D17)-D18</f>
        <v>-0</v>
      </c>
      <c r="E21" s="0" t="s">
        <v>378</v>
      </c>
    </row>
    <row r="22" customFormat="false" ht="15" hidden="false" customHeight="true" outlineLevel="0" collapsed="false">
      <c r="A22" s="45" t="s">
        <v>522</v>
      </c>
      <c r="B22" s="72" t="str">
        <f aca="false">IF(B5=0,"Chưa điền",IF(NOT(ISNUMBER(B19)),"Dừng",IF(B19&lt;12,"Làm","Thử nghiệm nhỏ")))</f>
        <v>Chưa điền</v>
      </c>
      <c r="C22" s="72" t="str">
        <f aca="false">IF(C5=0,"Chưa điền",IF(NOT(ISNUMBER(C19)),"Dừng",IF(C19&lt;12,"Làm","Thử nghiệm nhỏ")))</f>
        <v>Chưa điền</v>
      </c>
      <c r="D22" s="72" t="str">
        <f aca="false">IF(D5=0,"Chưa điền",IF(NOT(ISNUMBER(D19)),"Dừng",IF(D19&lt;12,"Làm","Thử nghiệm nhỏ")))</f>
        <v>Chưa điền</v>
      </c>
      <c r="E22" s="50" t="s">
        <v>523</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60"/>
    <col collapsed="false" customWidth="true" hidden="false" outlineLevel="0" max="2" min="2" style="0" width="24"/>
    <col collapsed="false" customWidth="true" hidden="false" outlineLevel="0" max="3" min="3" style="0" width="26"/>
  </cols>
  <sheetData>
    <row r="1" customFormat="false" ht="17.25" hidden="false" customHeight="true" outlineLevel="0" collapsed="false">
      <c r="A1" s="1" t="s">
        <v>524</v>
      </c>
    </row>
    <row r="2" customFormat="false" ht="31.5" hidden="false" customHeight="true" outlineLevel="0" collapsed="false">
      <c r="A2" s="102" t="s">
        <v>525</v>
      </c>
      <c r="B2" s="102"/>
      <c r="C2" s="102"/>
    </row>
    <row r="4" customFormat="false" ht="15" hidden="false" customHeight="true" outlineLevel="0" collapsed="false">
      <c r="A4" s="14" t="s">
        <v>526</v>
      </c>
      <c r="B4" s="14" t="s">
        <v>527</v>
      </c>
      <c r="C4" s="14" t="s">
        <v>528</v>
      </c>
    </row>
    <row r="5" customFormat="false" ht="15" hidden="false" customHeight="true" outlineLevel="0" collapsed="false">
      <c r="A5" s="45" t="s">
        <v>529</v>
      </c>
      <c r="B5" s="49" t="n">
        <f aca="false">'1_Chi phí mỗi việc'!B25</f>
        <v>4.92809529874872</v>
      </c>
      <c r="C5" s="59" t="str">
        <f aca="false">IF(B5&gt;=0.3,"Đạt","Xem lại")</f>
        <v>Đạt</v>
      </c>
    </row>
    <row r="6" customFormat="false" ht="15" hidden="false" customHeight="true" outlineLevel="0" collapsed="false">
      <c r="A6" s="45" t="s">
        <v>530</v>
      </c>
      <c r="B6" s="49" t="n">
        <f aca="false">'4_Chỉ số mỗi khách'!C7</f>
        <v>0.894626094336918</v>
      </c>
      <c r="C6" s="59" t="str">
        <f aca="false">IF(B6&gt;=0.6,"Đạt","Xem lại")</f>
        <v>Đạt</v>
      </c>
    </row>
    <row r="7" customFormat="false" ht="15" hidden="false" customHeight="true" outlineLevel="0" collapsed="false">
      <c r="A7" s="45" t="s">
        <v>531</v>
      </c>
      <c r="B7" s="103" t="n">
        <f aca="false">'4_Chỉ số mỗi khách'!C11</f>
        <v>1.18857466819048</v>
      </c>
      <c r="C7" s="59" t="str">
        <f aca="false">IF(B7&gt;3,"Đạt","Xem lại")</f>
        <v>Xem lại</v>
      </c>
    </row>
    <row r="8" customFormat="false" ht="15" hidden="false" customHeight="true" outlineLevel="0" collapsed="false">
      <c r="A8" s="45" t="s">
        <v>532</v>
      </c>
      <c r="B8" s="70" t="n">
        <f aca="false">'4_Chỉ số mỗi khách'!C12</f>
        <v>5.60895907096541</v>
      </c>
      <c r="C8" s="59" t="str">
        <f aca="false">IF(AND(B8&gt;0,B8&lt;12),"Đạt","Xem lại")</f>
        <v>Đạt</v>
      </c>
    </row>
    <row r="9" customFormat="false" ht="15" hidden="false" customHeight="true" outlineLevel="0" collapsed="false">
      <c r="A9" s="45" t="s">
        <v>533</v>
      </c>
      <c r="B9" s="59" t="str">
        <f aca="false">IF(AND('3_Giả định'!C9&gt;0,'3_Giả định'!C10&gt;0,'3_Giả định'!D9&gt;=1.5*'3_Giả định'!C9,'3_Giả định'!D10&gt;=1.5*'3_Giả định'!C10),"Có","Không")</f>
        <v>Có</v>
      </c>
      <c r="C9" s="59" t="str">
        <f aca="false">IF(B9="Có","Đạt","Xem lại")</f>
        <v>Đạt</v>
      </c>
    </row>
    <row r="10" customFormat="false" ht="15" hidden="false" customHeight="true" outlineLevel="0" collapsed="false">
      <c r="A10" s="45" t="s">
        <v>534</v>
      </c>
      <c r="B10" s="77" t="n">
        <f aca="false">'5_Dòng tiền &amp; hiệu quả'!D47</f>
        <v>5</v>
      </c>
      <c r="C10" s="59" t="str">
        <f aca="false">IF(B10="Chưa điền","Chưa điền",IF(ISNUMBER(B10),IF(B10&gt;=12,"Đạt","Cần kế hoạch cắt giảm"),"Đạt"))</f>
        <v>Cần kế hoạch cắt giảm</v>
      </c>
    </row>
    <row r="11" customFormat="false" ht="15" hidden="false" customHeight="true" outlineLevel="0" collapsed="false">
      <c r="A11" s="45" t="s">
        <v>535</v>
      </c>
      <c r="B11" s="46" t="n">
        <f aca="false">'5_Dòng tiền &amp; hiệu quả'!C44</f>
        <v>-5591201777.45053</v>
      </c>
      <c r="C11" s="59" t="str">
        <f aca="false">IF(B11&gt;0,"Đạt","Xem lại")</f>
        <v>Xem lại</v>
      </c>
    </row>
    <row r="12" customFormat="false" ht="15" hidden="false" customHeight="true" outlineLevel="0" collapsed="false">
      <c r="A12" s="45" t="s">
        <v>536</v>
      </c>
      <c r="B12" s="59" t="str">
        <f aca="false">'5_Dòng tiền &amp; hiệu quả'!B66</f>
        <v>Chi phí có một khách tăng</v>
      </c>
      <c r="C12" s="59" t="str">
        <f aca="false">IF(B12="Chưa đủ số liệu","Xem lại","Ghi vào câu 3")</f>
        <v>Ghi vào câu 3</v>
      </c>
    </row>
    <row r="13" customFormat="false" ht="16.5" hidden="false" customHeight="true" outlineLevel="0" collapsed="false">
      <c r="A13" s="104" t="s">
        <v>537</v>
      </c>
      <c r="B13" s="104"/>
      <c r="C13" s="104"/>
    </row>
    <row r="14" customFormat="false" ht="48.75" hidden="false" customHeight="true" outlineLevel="0" collapsed="false">
      <c r="A14" s="20" t="s">
        <v>538</v>
      </c>
      <c r="B14" s="20"/>
      <c r="C14" s="20"/>
    </row>
    <row r="15" customFormat="false" ht="48" hidden="false" customHeight="true" outlineLevel="0" collapsed="false">
      <c r="A15" s="105" t="s">
        <v>539</v>
      </c>
      <c r="B15" s="105"/>
      <c r="C15" s="105"/>
    </row>
    <row r="17" customFormat="false" ht="18.75" hidden="false" customHeight="true" outlineLevel="0" collapsed="false">
      <c r="A17" s="20" t="s">
        <v>540</v>
      </c>
      <c r="B17" s="20"/>
      <c r="C17" s="20"/>
    </row>
    <row r="18" customFormat="false" ht="48" hidden="false" customHeight="true" outlineLevel="0" collapsed="false">
      <c r="A18" s="105" t="s">
        <v>541</v>
      </c>
      <c r="B18" s="105"/>
      <c r="C18" s="105"/>
    </row>
    <row r="20" customFormat="false" ht="18.75" hidden="false" customHeight="true" outlineLevel="0" collapsed="false">
      <c r="A20" s="20" t="s">
        <v>542</v>
      </c>
      <c r="B20" s="20"/>
      <c r="C20" s="20"/>
    </row>
    <row r="21" customFormat="false" ht="48" hidden="false" customHeight="true" outlineLevel="0" collapsed="false">
      <c r="A21" s="105" t="s">
        <v>543</v>
      </c>
      <c r="B21" s="105"/>
      <c r="C21" s="105"/>
    </row>
    <row r="23" customFormat="false" ht="63.75" hidden="false" customHeight="true" outlineLevel="0" collapsed="false">
      <c r="A23" s="20" t="s">
        <v>544</v>
      </c>
      <c r="B23" s="20"/>
      <c r="C23" s="20"/>
    </row>
    <row r="24" customFormat="false" ht="48" hidden="false" customHeight="true" outlineLevel="0" collapsed="false">
      <c r="A24" s="105" t="s">
        <v>545</v>
      </c>
      <c r="B24" s="105"/>
      <c r="C24" s="105"/>
    </row>
    <row r="26" customFormat="false" ht="33.75" hidden="false" customHeight="true" outlineLevel="0" collapsed="false">
      <c r="A26" s="20" t="s">
        <v>546</v>
      </c>
      <c r="B26" s="20"/>
      <c r="C26" s="20"/>
    </row>
    <row r="27" customFormat="false" ht="48" hidden="false" customHeight="true" outlineLevel="0" collapsed="false">
      <c r="A27" s="33" t="s">
        <v>547</v>
      </c>
      <c r="B27" s="33"/>
      <c r="C27" s="33"/>
    </row>
  </sheetData>
  <sheetProtection sheet="true" formatColumns="false" formatRows="false"/>
  <mergeCells count="12">
    <mergeCell ref="A2:C2"/>
    <mergeCell ref="A13:C13"/>
    <mergeCell ref="A14:C14"/>
    <mergeCell ref="A15:C15"/>
    <mergeCell ref="A17:C17"/>
    <mergeCell ref="A18:C18"/>
    <mergeCell ref="A20:C20"/>
    <mergeCell ref="A21:C21"/>
    <mergeCell ref="A23:C23"/>
    <mergeCell ref="A24:C24"/>
    <mergeCell ref="A26:C26"/>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27.99"/>
    <col collapsed="false" customWidth="true" hidden="false" outlineLevel="0" max="2" min="2" style="0" width="30.01"/>
    <col collapsed="false" customWidth="true" hidden="false" outlineLevel="0" max="3" min="3" style="0" width="79.99"/>
    <col collapsed="false" customWidth="true" hidden="false" outlineLevel="0" max="4" min="4" style="0" width="40"/>
  </cols>
  <sheetData>
    <row r="1" customFormat="false" ht="17.25" hidden="false" customHeight="true" outlineLevel="0" collapsed="false">
      <c r="A1" s="1" t="s">
        <v>548</v>
      </c>
    </row>
    <row r="2" customFormat="false" ht="15" hidden="false" customHeight="true" outlineLevel="0" collapsed="false">
      <c r="A2" s="8" t="s">
        <v>549</v>
      </c>
    </row>
    <row r="4" customFormat="false" ht="15" hidden="false" customHeight="true" outlineLevel="0" collapsed="false">
      <c r="A4" s="14" t="s">
        <v>550</v>
      </c>
      <c r="B4" s="14" t="s">
        <v>551</v>
      </c>
      <c r="C4" s="14" t="s">
        <v>552</v>
      </c>
      <c r="D4" s="14" t="s">
        <v>553</v>
      </c>
    </row>
    <row r="5" customFormat="false" ht="15" hidden="false" customHeight="true" outlineLevel="0" collapsed="false">
      <c r="A5" s="45" t="s">
        <v>554</v>
      </c>
      <c r="B5" s="0" t="n">
        <v>10</v>
      </c>
      <c r="C5" s="3" t="s">
        <v>555</v>
      </c>
      <c r="D5" s="106"/>
    </row>
    <row r="6" customFormat="false" ht="15" hidden="false" customHeight="true" outlineLevel="0" collapsed="false">
      <c r="A6" s="45" t="s">
        <v>556</v>
      </c>
      <c r="B6" s="0" t="n">
        <v>15</v>
      </c>
      <c r="C6" s="3" t="s">
        <v>557</v>
      </c>
      <c r="D6" s="106"/>
    </row>
    <row r="7" customFormat="false" ht="15" hidden="false" customHeight="true" outlineLevel="0" collapsed="false">
      <c r="A7" s="45" t="s">
        <v>558</v>
      </c>
      <c r="B7" s="0" t="n">
        <v>15</v>
      </c>
      <c r="C7" s="3" t="s">
        <v>559</v>
      </c>
      <c r="D7" s="106"/>
    </row>
    <row r="8" customFormat="false" ht="15" hidden="false" customHeight="true" outlineLevel="0" collapsed="false">
      <c r="A8" s="45" t="s">
        <v>560</v>
      </c>
      <c r="B8" s="0" t="n">
        <v>20</v>
      </c>
      <c r="C8" s="3" t="s">
        <v>561</v>
      </c>
      <c r="D8" s="106"/>
    </row>
    <row r="9" customFormat="false" ht="15" hidden="false" customHeight="true" outlineLevel="0" collapsed="false">
      <c r="A9" s="45" t="s">
        <v>562</v>
      </c>
      <c r="B9" s="0" t="n">
        <v>20</v>
      </c>
      <c r="C9" s="3" t="s">
        <v>563</v>
      </c>
      <c r="D9" s="106"/>
    </row>
    <row r="10" customFormat="false" ht="15" hidden="false" customHeight="true" outlineLevel="0" collapsed="false">
      <c r="A10" s="45" t="s">
        <v>564</v>
      </c>
      <c r="B10" s="0" t="n">
        <v>20</v>
      </c>
      <c r="C10" s="3" t="s">
        <v>565</v>
      </c>
      <c r="D10" s="106"/>
    </row>
    <row r="11" customFormat="false" ht="15" hidden="false" customHeight="true" outlineLevel="0" collapsed="false">
      <c r="A11" s="4" t="s">
        <v>566</v>
      </c>
      <c r="B11" s="0" t="n">
        <f aca="false">SUM(B5:B10)</f>
        <v>100</v>
      </c>
      <c r="D11" s="59" t="n">
        <f aca="false">SUM(D5:D10)</f>
        <v>0</v>
      </c>
    </row>
    <row r="12" customFormat="false" ht="15" hidden="false" customHeight="true" outlineLevel="0" collapsed="false">
      <c r="A12" s="4" t="s">
        <v>567</v>
      </c>
      <c r="B12" s="0" t="s">
        <v>568</v>
      </c>
      <c r="C12" s="0" t="s">
        <v>569</v>
      </c>
      <c r="D12" s="106"/>
    </row>
    <row r="15" customFormat="false" ht="15" hidden="false" customHeight="true" outlineLevel="0" collapsed="false">
      <c r="A15" s="76" t="s">
        <v>570</v>
      </c>
    </row>
    <row r="16" customFormat="false" ht="15" hidden="false" customHeight="true" outlineLevel="0" collapsed="false">
      <c r="A16" s="14" t="s">
        <v>550</v>
      </c>
      <c r="B16" s="14" t="s">
        <v>571</v>
      </c>
      <c r="C16" s="14" t="s">
        <v>572</v>
      </c>
      <c r="D16" s="14" t="s">
        <v>573</v>
      </c>
    </row>
    <row r="17" customFormat="false" ht="45.75" hidden="false" customHeight="true" outlineLevel="0" collapsed="false">
      <c r="A17" s="107" t="s">
        <v>574</v>
      </c>
      <c r="B17" s="108" t="s">
        <v>575</v>
      </c>
      <c r="C17" s="108" t="s">
        <v>576</v>
      </c>
      <c r="D17" s="108" t="s">
        <v>577</v>
      </c>
    </row>
    <row r="18" customFormat="false" ht="45.75" hidden="false" customHeight="true" outlineLevel="0" collapsed="false">
      <c r="A18" s="107" t="s">
        <v>578</v>
      </c>
      <c r="B18" s="108" t="s">
        <v>579</v>
      </c>
      <c r="C18" s="108" t="s">
        <v>580</v>
      </c>
      <c r="D18" s="108" t="s">
        <v>581</v>
      </c>
    </row>
    <row r="19" customFormat="false" ht="45.75" hidden="false" customHeight="true" outlineLevel="0" collapsed="false">
      <c r="A19" s="107" t="s">
        <v>582</v>
      </c>
      <c r="B19" s="108" t="s">
        <v>583</v>
      </c>
      <c r="C19" s="108" t="s">
        <v>584</v>
      </c>
      <c r="D19" s="108" t="s">
        <v>585</v>
      </c>
    </row>
    <row r="20" customFormat="false" ht="45.75" hidden="false" customHeight="true" outlineLevel="0" collapsed="false">
      <c r="A20" s="107" t="s">
        <v>586</v>
      </c>
      <c r="B20" s="108" t="s">
        <v>587</v>
      </c>
      <c r="C20" s="108" t="s">
        <v>588</v>
      </c>
      <c r="D20" s="108" t="s">
        <v>589</v>
      </c>
    </row>
    <row r="22" customFormat="false" ht="15" hidden="false" customHeight="true" outlineLevel="0" collapsed="false">
      <c r="A22" s="50" t="s">
        <v>590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8"/>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A1" activeCellId="0" sqref="A1"/>
    </sheetView>
  </sheetViews>
  <sheetFormatPr defaultColWidth="8.640625" defaultRowHeight="14.25" zeroHeight="false" outlineLevelRow="0" outlineLevelCol="0"/>
  <cols>
    <col collapsed="false" customWidth="true" hidden="false" outlineLevel="0" max="1" min="1" style="0" width="44"/>
    <col collapsed="false" customWidth="true" hidden="false" outlineLevel="0" max="3" min="2" style="0" width="22.01"/>
    <col collapsed="false" customWidth="true" hidden="false" outlineLevel="0" max="4" min="4" style="0" width="70"/>
    <col collapsed="false" customWidth="true" hidden="false" outlineLevel="0" max="5" min="5" style="0" width="48.01"/>
  </cols>
  <sheetData>
    <row r="1" customFormat="false" ht="15" hidden="false" customHeight="true" outlineLevel="0" collapsed="false">
      <c r="A1" s="76" t="s">
        <v>591</v>
      </c>
    </row>
    <row r="2" customFormat="false" ht="15" hidden="false" customHeight="true" outlineLevel="0" collapsed="false">
      <c r="A2" s="50" t="s">
        <v>592</v>
      </c>
    </row>
    <row r="4" customFormat="false" ht="27.75" hidden="false" customHeight="true" outlineLevel="0" collapsed="false">
      <c r="A4" s="14" t="s">
        <v>593</v>
      </c>
      <c r="B4" s="14" t="s">
        <v>594</v>
      </c>
      <c r="C4" s="14" t="s">
        <v>595</v>
      </c>
      <c r="D4" s="14" t="s">
        <v>596</v>
      </c>
      <c r="E4" s="14" t="s">
        <v>58</v>
      </c>
    </row>
    <row r="5" customFormat="false" ht="15" hidden="false" customHeight="true" outlineLevel="0" collapsed="false">
      <c r="A5" s="78" t="s">
        <v>597</v>
      </c>
      <c r="B5" s="109" t="n">
        <v>0.1</v>
      </c>
      <c r="C5" s="109" t="n">
        <v>0.5</v>
      </c>
      <c r="D5" s="78" t="s">
        <v>598</v>
      </c>
      <c r="E5" s="78" t="s">
        <v>599</v>
      </c>
    </row>
    <row r="6" customFormat="false" ht="15" hidden="false" customHeight="true" outlineLevel="0" collapsed="false">
      <c r="A6" s="78" t="s">
        <v>600</v>
      </c>
      <c r="B6" s="109" t="n">
        <v>2</v>
      </c>
      <c r="C6" s="109" t="n">
        <v>10</v>
      </c>
      <c r="D6" s="78" t="s">
        <v>601</v>
      </c>
      <c r="E6" s="78" t="s">
        <v>602</v>
      </c>
    </row>
    <row r="7" customFormat="false" ht="15" hidden="false" customHeight="true" outlineLevel="0" collapsed="false">
      <c r="A7" s="78" t="s">
        <v>603</v>
      </c>
      <c r="B7" s="109" t="n">
        <v>1</v>
      </c>
      <c r="C7" s="109" t="n">
        <v>5</v>
      </c>
      <c r="D7" s="78" t="s">
        <v>604</v>
      </c>
      <c r="E7" s="78"/>
    </row>
    <row r="8" customFormat="false" ht="15" hidden="false" customHeight="true" outlineLevel="0" collapsed="false">
      <c r="A8" s="78" t="s">
        <v>605</v>
      </c>
      <c r="B8" s="109" t="n">
        <v>2</v>
      </c>
      <c r="C8" s="109" t="n">
        <v>10</v>
      </c>
      <c r="D8" s="78" t="s">
        <v>604</v>
      </c>
      <c r="E8" s="78" t="s">
        <v>606</v>
      </c>
    </row>
    <row r="11" customFormat="false" ht="15" hidden="false" customHeight="true" outlineLevel="0" collapsed="false">
      <c r="A11" s="14" t="s">
        <v>607</v>
      </c>
      <c r="B11" s="14" t="s">
        <v>164</v>
      </c>
      <c r="C11" s="14" t="s">
        <v>165</v>
      </c>
      <c r="D11" s="14" t="s">
        <v>608</v>
      </c>
      <c r="E11" s="14" t="s">
        <v>58</v>
      </c>
    </row>
    <row r="12" customFormat="false" ht="15" hidden="false" customHeight="true" outlineLevel="0" collapsed="false">
      <c r="A12" s="78" t="s">
        <v>609</v>
      </c>
      <c r="B12" s="110" t="n">
        <v>26170</v>
      </c>
      <c r="C12" s="78" t="s">
        <v>187</v>
      </c>
      <c r="D12" s="78" t="s">
        <v>610</v>
      </c>
      <c r="E12" s="78" t="s">
        <v>611</v>
      </c>
    </row>
    <row r="13" customFormat="false" ht="15" hidden="false" customHeight="true" outlineLevel="0" collapsed="false">
      <c r="A13" s="78" t="s">
        <v>612</v>
      </c>
      <c r="B13" s="110" t="n">
        <v>25636</v>
      </c>
      <c r="C13" s="78" t="s">
        <v>187</v>
      </c>
      <c r="D13" s="78" t="s">
        <v>613</v>
      </c>
      <c r="E13" s="78" t="s">
        <v>614</v>
      </c>
    </row>
    <row r="14" customFormat="false" ht="15" hidden="false" customHeight="true" outlineLevel="0" collapsed="false">
      <c r="A14" s="78" t="s">
        <v>615</v>
      </c>
      <c r="B14" s="110" t="n">
        <v>5310000</v>
      </c>
      <c r="C14" s="78" t="s">
        <v>239</v>
      </c>
      <c r="D14" s="78" t="s">
        <v>616</v>
      </c>
      <c r="E14" s="78" t="s">
        <v>617</v>
      </c>
    </row>
    <row r="15" customFormat="false" ht="15" hidden="false" customHeight="true" outlineLevel="0" collapsed="false">
      <c r="A15" s="78" t="s">
        <v>618</v>
      </c>
      <c r="B15" s="110" t="n">
        <v>25500</v>
      </c>
      <c r="C15" s="78" t="s">
        <v>201</v>
      </c>
      <c r="D15" s="78" t="s">
        <v>616</v>
      </c>
      <c r="E15" s="78" t="s">
        <v>619</v>
      </c>
    </row>
    <row r="18" customFormat="false" ht="15" hidden="false" customHeight="true" outlineLevel="0" collapsed="false">
      <c r="A18" s="14" t="s">
        <v>620</v>
      </c>
      <c r="B18" s="14" t="s">
        <v>621</v>
      </c>
    </row>
    <row r="19" customFormat="false" ht="48" hidden="false" customHeight="true" outlineLevel="0" collapsed="false">
      <c r="A19" s="108" t="s">
        <v>622</v>
      </c>
      <c r="B19" s="111" t="s">
        <v>623</v>
      </c>
      <c r="C19" s="111"/>
      <c r="D19" s="111"/>
      <c r="E19" s="111"/>
    </row>
    <row r="20" customFormat="false" ht="48" hidden="false" customHeight="true" outlineLevel="0" collapsed="false">
      <c r="A20" s="108" t="s">
        <v>624</v>
      </c>
      <c r="B20" s="111" t="s">
        <v>625</v>
      </c>
      <c r="C20" s="111"/>
      <c r="D20" s="111"/>
      <c r="E20" s="111"/>
    </row>
    <row r="21" customFormat="false" ht="48" hidden="false" customHeight="true" outlineLevel="0" collapsed="false">
      <c r="A21" s="108" t="s">
        <v>626</v>
      </c>
      <c r="B21" s="111" t="s">
        <v>627</v>
      </c>
      <c r="C21" s="111"/>
      <c r="D21" s="111"/>
      <c r="E21" s="111"/>
    </row>
    <row r="23" customFormat="false" ht="15" hidden="false" customHeight="true" outlineLevel="0" collapsed="false">
      <c r="A23" s="14" t="s">
        <v>628</v>
      </c>
      <c r="B23" s="14" t="s">
        <v>629</v>
      </c>
    </row>
    <row r="24" customFormat="false" ht="48" hidden="false" customHeight="true" outlineLevel="0" collapsed="false">
      <c r="A24" s="108" t="s">
        <v>630</v>
      </c>
      <c r="B24" s="111" t="s">
        <v>631</v>
      </c>
      <c r="C24" s="111"/>
      <c r="D24" s="111"/>
      <c r="E24" s="111"/>
    </row>
    <row r="25" customFormat="false" ht="48" hidden="false" customHeight="true" outlineLevel="0" collapsed="false">
      <c r="A25" s="108" t="s">
        <v>632</v>
      </c>
      <c r="B25" s="111" t="s">
        <v>633</v>
      </c>
      <c r="C25" s="111"/>
      <c r="D25" s="111"/>
      <c r="E25" s="111"/>
    </row>
    <row r="26" customFormat="false" ht="48" hidden="false" customHeight="true" outlineLevel="0" collapsed="false">
      <c r="A26" s="108" t="s">
        <v>634</v>
      </c>
      <c r="B26" s="111" t="s">
        <v>635</v>
      </c>
      <c r="C26" s="111"/>
      <c r="D26" s="111"/>
      <c r="E26" s="111"/>
    </row>
    <row r="27" customFormat="false" ht="48" hidden="false" customHeight="true" outlineLevel="0" collapsed="false">
      <c r="A27" s="108" t="s">
        <v>636</v>
      </c>
      <c r="B27" s="111" t="s">
        <v>637</v>
      </c>
      <c r="C27" s="111"/>
      <c r="D27" s="111"/>
      <c r="E27" s="111"/>
    </row>
    <row r="28" customFormat="false" ht="48" hidden="false" customHeight="true" outlineLevel="0" collapsed="false">
      <c r="A28" s="108" t="s">
        <v>638</v>
      </c>
      <c r="B28" s="111" t="s">
        <v>639</v>
      </c>
      <c r="C28" s="111"/>
      <c r="D28" s="111"/>
      <c r="E28" s="111"/>
    </row>
  </sheetData>
  <sheetProtection sheet="true" formatColumns="false" formatRows="false"/>
  <mergeCells count="8">
    <mergeCell ref="B19:E19"/>
    <mergeCell ref="B20:E20"/>
    <mergeCell ref="B21:E21"/>
    <mergeCell ref="B24:E24"/>
    <mergeCell ref="B25:E25"/>
    <mergeCell ref="B26:E26"/>
    <mergeCell ref="B27:E27"/>
    <mergeCell ref="B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2026-10-04T05:18:06Z</dcterms:created>
  <dc:creator>openpyxl</dc:creator>
  <dc:description/>
  <dc:language>en-US</dc:language>
  <cp:lastModifiedBy>hải store342</cp:lastModifiedBy>
  <dcterms:modified xsi:type="dcterms:W3CDTF">2026-10-12T05:27:32Z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